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comments2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ccisões 2025" sheetId="1" state="visible" r:id="rId3"/>
    <sheet name="Taxa de occisão" sheetId="2" state="visible" r:id="rId4"/>
    <sheet name="Composição CIRAE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2" authorId="0">
      <text>
        <r>
          <rPr>
            <sz val="10"/>
            <rFont val="Arial"/>
            <family val="2"/>
          </rPr>
          <t xml:space="preserve">Soma da folha «Composição CIRAE».</t>
        </r>
      </text>
    </comment>
  </commentList>
</comments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H2" authorId="0">
      <text>
        <r>
          <rPr>
            <sz val="10"/>
            <rFont val="Arial"/>
            <family val="2"/>
          </rPr>
          <t xml:space="preserve">Pressuposto: entidades com menos de 20 animais recolhidos ficam fora da média, da mediana e da posição, porque uma ou duas occisões dão taxas muito altas. Pode alterar este valor.</t>
        </r>
      </text>
    </comment>
  </commentList>
</comments>
</file>

<file path=xl/sharedStrings.xml><?xml version="1.0" encoding="utf-8"?>
<sst xmlns="http://schemas.openxmlformats.org/spreadsheetml/2006/main" count="413" uniqueCount="226">
  <si>
    <t xml:space="preserve">Entidade</t>
  </si>
  <si>
    <t xml:space="preserve">Occisões 2025</t>
  </si>
  <si>
    <t xml:space="preserve">Indicador</t>
  </si>
  <si>
    <t xml:space="preserve">Valor</t>
  </si>
  <si>
    <t xml:space="preserve">CIRAE – Proença-a-Nova (11 municípios)</t>
  </si>
  <si>
    <t xml:space="preserve">Média das restantes entidades</t>
  </si>
  <si>
    <t xml:space="preserve">Lisboa</t>
  </si>
  <si>
    <t xml:space="preserve">Mediana das restantes entidades</t>
  </si>
  <si>
    <t xml:space="preserve">Matosinhos</t>
  </si>
  <si>
    <t xml:space="preserve">Occisões do CIRAE</t>
  </si>
  <si>
    <t xml:space="preserve">Cascais</t>
  </si>
  <si>
    <t xml:space="preserve">CIRAE em relação à média (n.º de vezes)</t>
  </si>
  <si>
    <t xml:space="preserve">Funchal</t>
  </si>
  <si>
    <t xml:space="preserve">CIRAE em relação à mediana (n.º de vezes)</t>
  </si>
  <si>
    <t xml:space="preserve">Sesimbra</t>
  </si>
  <si>
    <t xml:space="preserve">Percentagem do CIRAE no total das entidades</t>
  </si>
  <si>
    <t xml:space="preserve">Ponta Delgada</t>
  </si>
  <si>
    <t xml:space="preserve">Posição do CIRAE (1 = mais occisões)</t>
  </si>
  <si>
    <t xml:space="preserve">Setúbal</t>
  </si>
  <si>
    <t xml:space="preserve">N.º de entidades com valor (incluindo o CIRAE)</t>
  </si>
  <si>
    <t xml:space="preserve">Fafe</t>
  </si>
  <si>
    <t xml:space="preserve">Santarém</t>
  </si>
  <si>
    <t xml:space="preserve">Notas</t>
  </si>
  <si>
    <t xml:space="preserve">Vila Nova de Famalicão</t>
  </si>
  <si>
    <t xml:space="preserve">Fonte: DGAV, Relatório de atividade dos Centros de Recolha Oficial, ano 2025 (31.3.2026), Tabela 1, colunas «Animais Recolhidos» e «Animais Eutanasiados». https://www.dgav.pt/wp-content/uploads/2026/03/Relatorio_CROs_2025_31032026-rev.pdf</t>
  </si>
  <si>
    <t xml:space="preserve">Tomar</t>
  </si>
  <si>
    <t xml:space="preserve">Entidades: municípios com CRO registado (Tabela 1). Excluem-se as linhas sem CRO («*»), sem dados («NF») e as que remetem para outro CRO intermunicipal.</t>
  </si>
  <si>
    <t xml:space="preserve">Barreiro</t>
  </si>
  <si>
    <t xml:space="preserve">O CIRAE agrega os 11 municípios que o integram (folha «Composição CIRAE»). Nos restantes CRO intermunicipais, cada município surge em linha própria, como no relatório.</t>
  </si>
  <si>
    <t xml:space="preserve">Ílhavo</t>
  </si>
  <si>
    <t xml:space="preserve">Valores em número absoluto, dependentes da dimensão de cada entidade. Para comparar sem esse efeito, ver a folha «Taxa de occisão».</t>
  </si>
  <si>
    <t xml:space="preserve">Penalva do Castelo</t>
  </si>
  <si>
    <t xml:space="preserve">Contam só cães e gatos («outras Sp.» excluídas). Na notícia da Lusa de 22.8.2026, o CIRAE refere 97 occisões em 2025 (64 cães e 33 gatos).</t>
  </si>
  <si>
    <t xml:space="preserve">Almada</t>
  </si>
  <si>
    <t xml:space="preserve">Leiria</t>
  </si>
  <si>
    <t xml:space="preserve">Seia</t>
  </si>
  <si>
    <t xml:space="preserve">Vila Real</t>
  </si>
  <si>
    <t xml:space="preserve">Valongo</t>
  </si>
  <si>
    <t xml:space="preserve">Valpaços</t>
  </si>
  <si>
    <t xml:space="preserve">Viana do Castelo</t>
  </si>
  <si>
    <t xml:space="preserve">Loures 37 (outras Sp.)</t>
  </si>
  <si>
    <t xml:space="preserve">Paredes</t>
  </si>
  <si>
    <t xml:space="preserve">Satão</t>
  </si>
  <si>
    <t xml:space="preserve">Coimbra</t>
  </si>
  <si>
    <t xml:space="preserve">Abrantes</t>
  </si>
  <si>
    <t xml:space="preserve">Marinha Grande</t>
  </si>
  <si>
    <t xml:space="preserve">Montijo</t>
  </si>
  <si>
    <t xml:space="preserve">Porto</t>
  </si>
  <si>
    <t xml:space="preserve">Alcobaça</t>
  </si>
  <si>
    <t xml:space="preserve">Chaves</t>
  </si>
  <si>
    <t xml:space="preserve">Arruda dos Vinhos</t>
  </si>
  <si>
    <t xml:space="preserve">Lagoa (Algarve)</t>
  </si>
  <si>
    <t xml:space="preserve">Lamego</t>
  </si>
  <si>
    <t xml:space="preserve">Vila Franca de Xira</t>
  </si>
  <si>
    <t xml:space="preserve">Beja</t>
  </si>
  <si>
    <t xml:space="preserve">Odivelas</t>
  </si>
  <si>
    <t xml:space="preserve">Trancoso</t>
  </si>
  <si>
    <t xml:space="preserve">Oeiras 56 (outras Sp.)</t>
  </si>
  <si>
    <t xml:space="preserve">Amadora</t>
  </si>
  <si>
    <t xml:space="preserve">Faro</t>
  </si>
  <si>
    <t xml:space="preserve">Palmela</t>
  </si>
  <si>
    <t xml:space="preserve">Torres Vedras</t>
  </si>
  <si>
    <t xml:space="preserve">Vinhais</t>
  </si>
  <si>
    <t xml:space="preserve">Barcelos</t>
  </si>
  <si>
    <t xml:space="preserve">Braga</t>
  </si>
  <si>
    <t xml:space="preserve">Alcanena</t>
  </si>
  <si>
    <t xml:space="preserve">Marco de Canaveses</t>
  </si>
  <si>
    <t xml:space="preserve">Mesão Frio</t>
  </si>
  <si>
    <t xml:space="preserve">Penafiel</t>
  </si>
  <si>
    <t xml:space="preserve">Ansião</t>
  </si>
  <si>
    <t xml:space="preserve">Montemor-o-Velho</t>
  </si>
  <si>
    <t xml:space="preserve">Santa Maria da Feira</t>
  </si>
  <si>
    <t xml:space="preserve">Paços de Ferreira</t>
  </si>
  <si>
    <t xml:space="preserve">Santa Cruz</t>
  </si>
  <si>
    <t xml:space="preserve">Alpiarça</t>
  </si>
  <si>
    <t xml:space="preserve">Gondomar</t>
  </si>
  <si>
    <t xml:space="preserve">Macedo de Cavaleiros</t>
  </si>
  <si>
    <t xml:space="preserve">Celorico da Beira</t>
  </si>
  <si>
    <t xml:space="preserve">Lousada</t>
  </si>
  <si>
    <t xml:space="preserve">Mafra</t>
  </si>
  <si>
    <t xml:space="preserve">Ourém</t>
  </si>
  <si>
    <t xml:space="preserve">Pinhel</t>
  </si>
  <si>
    <t xml:space="preserve">Aguiar da Beira</t>
  </si>
  <si>
    <t xml:space="preserve">Lajes das Flores</t>
  </si>
  <si>
    <t xml:space="preserve">Mourão</t>
  </si>
  <si>
    <t xml:space="preserve">Pombal</t>
  </si>
  <si>
    <t xml:space="preserve">Ribeira Grande</t>
  </si>
  <si>
    <t xml:space="preserve">Sabrosa</t>
  </si>
  <si>
    <t xml:space="preserve">Serpa</t>
  </si>
  <si>
    <t xml:space="preserve">Alfândega da Fé</t>
  </si>
  <si>
    <t xml:space="preserve">Alijó</t>
  </si>
  <si>
    <t xml:space="preserve">Castelo Branco</t>
  </si>
  <si>
    <t xml:space="preserve">Ponte de Lima</t>
  </si>
  <si>
    <t xml:space="preserve">Seixal</t>
  </si>
  <si>
    <t xml:space="preserve">Sintra</t>
  </si>
  <si>
    <t xml:space="preserve">Tarouca</t>
  </si>
  <si>
    <t xml:space="preserve">Vila Viçosa</t>
  </si>
  <si>
    <t xml:space="preserve">Évora</t>
  </si>
  <si>
    <t xml:space="preserve">Baião</t>
  </si>
  <si>
    <t xml:space="preserve">Caldas da Rainha</t>
  </si>
  <si>
    <t xml:space="preserve">Cantanhede</t>
  </si>
  <si>
    <t xml:space="preserve">Carregal do Sal</t>
  </si>
  <si>
    <t xml:space="preserve">Moita 3 (outras Sp.)</t>
  </si>
  <si>
    <t xml:space="preserve">Rio Maior</t>
  </si>
  <si>
    <t xml:space="preserve">Angra do Heroísmo (CRO Intermunic. da Terceira)</t>
  </si>
  <si>
    <t xml:space="preserve">Borba</t>
  </si>
  <si>
    <t xml:space="preserve">Monção</t>
  </si>
  <si>
    <t xml:space="preserve">Ponte da Barca</t>
  </si>
  <si>
    <t xml:space="preserve">Porto Santo</t>
  </si>
  <si>
    <t xml:space="preserve">Porto de Mós</t>
  </si>
  <si>
    <t xml:space="preserve">Santa Marta de Penaguião</t>
  </si>
  <si>
    <t xml:space="preserve">Torres Novas</t>
  </si>
  <si>
    <t xml:space="preserve">Águeda</t>
  </si>
  <si>
    <t xml:space="preserve">Óbidos</t>
  </si>
  <si>
    <t xml:space="preserve">Albergaria-a-Velha</t>
  </si>
  <si>
    <t xml:space="preserve">Alcochete</t>
  </si>
  <si>
    <t xml:space="preserve">Almeida</t>
  </si>
  <si>
    <t xml:space="preserve">Amarante</t>
  </si>
  <si>
    <t xml:space="preserve">Coruche</t>
  </si>
  <si>
    <t xml:space="preserve">Lagoa</t>
  </si>
  <si>
    <t xml:space="preserve">Odemira</t>
  </si>
  <si>
    <t xml:space="preserve">Oliveira de Azeméis</t>
  </si>
  <si>
    <t xml:space="preserve">Ourique</t>
  </si>
  <si>
    <t xml:space="preserve">Ponte de Sor</t>
  </si>
  <si>
    <t xml:space="preserve">Santa Cruz da Graciosa</t>
  </si>
  <si>
    <t xml:space="preserve">Sobral de Monte Agraço</t>
  </si>
  <si>
    <t xml:space="preserve">Alandroal</t>
  </si>
  <si>
    <t xml:space="preserve">Aljustrel</t>
  </si>
  <si>
    <t xml:space="preserve">Almodôvar</t>
  </si>
  <si>
    <t xml:space="preserve">Alvito</t>
  </si>
  <si>
    <t xml:space="preserve">Arcos de Valdevez</t>
  </si>
  <si>
    <t xml:space="preserve">Batalha</t>
  </si>
  <si>
    <t xml:space="preserve">Caminha</t>
  </si>
  <si>
    <t xml:space="preserve">Cartaxo</t>
  </si>
  <si>
    <t xml:space="preserve">Horta</t>
  </si>
  <si>
    <t xml:space="preserve">Lagos</t>
  </si>
  <si>
    <t xml:space="preserve">Melgaço</t>
  </si>
  <si>
    <t xml:space="preserve">Miranda do Douro</t>
  </si>
  <si>
    <t xml:space="preserve">Póvoa de Varzim</t>
  </si>
  <si>
    <t xml:space="preserve">Vale de Cambra</t>
  </si>
  <si>
    <t xml:space="preserve">Vila Nova de Cerveira</t>
  </si>
  <si>
    <t xml:space="preserve">Vimioso</t>
  </si>
  <si>
    <t xml:space="preserve">Vizela</t>
  </si>
  <si>
    <t xml:space="preserve">Almeirim</t>
  </si>
  <si>
    <t xml:space="preserve">Amares</t>
  </si>
  <si>
    <t xml:space="preserve">Arganil</t>
  </si>
  <si>
    <t xml:space="preserve">Arouca</t>
  </si>
  <si>
    <t xml:space="preserve">Barrancos</t>
  </si>
  <si>
    <t xml:space="preserve">Benavente</t>
  </si>
  <si>
    <t xml:space="preserve">Boticas</t>
  </si>
  <si>
    <t xml:space="preserve">Bragança</t>
  </si>
  <si>
    <t xml:space="preserve">Castelo de Paiva</t>
  </si>
  <si>
    <t xml:space="preserve">Castro Marim</t>
  </si>
  <si>
    <t xml:space="preserve">Castro Verde</t>
  </si>
  <si>
    <t xml:space="preserve">Constância</t>
  </si>
  <si>
    <t xml:space="preserve">Crato</t>
  </si>
  <si>
    <t xml:space="preserve">Entroncame nto</t>
  </si>
  <si>
    <t xml:space="preserve">Felgueiras</t>
  </si>
  <si>
    <t xml:space="preserve">Ferreira do Alentejo</t>
  </si>
  <si>
    <t xml:space="preserve">Figueira de Castelo Rodrigo</t>
  </si>
  <si>
    <t xml:space="preserve">Fronteira</t>
  </si>
  <si>
    <t xml:space="preserve">Fundão</t>
  </si>
  <si>
    <t xml:space="preserve">Loulé</t>
  </si>
  <si>
    <t xml:space="preserve">Lousã</t>
  </si>
  <si>
    <t xml:space="preserve">Meda</t>
  </si>
  <si>
    <t xml:space="preserve">Mira</t>
  </si>
  <si>
    <t xml:space="preserve">Miranda do Corvo</t>
  </si>
  <si>
    <t xml:space="preserve">Mogadouro</t>
  </si>
  <si>
    <t xml:space="preserve">Moimenta da Beira</t>
  </si>
  <si>
    <t xml:space="preserve">Monforte</t>
  </si>
  <si>
    <t xml:space="preserve">Moura</t>
  </si>
  <si>
    <t xml:space="preserve">Mértola</t>
  </si>
  <si>
    <t xml:space="preserve">Nazaré</t>
  </si>
  <si>
    <t xml:space="preserve">Oliveira de Frades</t>
  </si>
  <si>
    <t xml:space="preserve">Oliveira do Hospital</t>
  </si>
  <si>
    <t xml:space="preserve">Penacova</t>
  </si>
  <si>
    <t xml:space="preserve">Portalegre</t>
  </si>
  <si>
    <t xml:space="preserve">Portel</t>
  </si>
  <si>
    <t xml:space="preserve">Reguengos de Monsaraz</t>
  </si>
  <si>
    <t xml:space="preserve">Resende</t>
  </si>
  <si>
    <t xml:space="preserve">Santo Tirso</t>
  </si>
  <si>
    <t xml:space="preserve">Sardoal</t>
  </si>
  <si>
    <t xml:space="preserve">Sernancelhe</t>
  </si>
  <si>
    <t xml:space="preserve">Silves</t>
  </si>
  <si>
    <t xml:space="preserve">Sousel</t>
  </si>
  <si>
    <t xml:space="preserve">São João da Madeira</t>
  </si>
  <si>
    <t xml:space="preserve">Terras de Bouro</t>
  </si>
  <si>
    <t xml:space="preserve">Vila Real de Santo António</t>
  </si>
  <si>
    <t xml:space="preserve">Vila do Conde</t>
  </si>
  <si>
    <t xml:space="preserve">Recolhidos 2025</t>
  </si>
  <si>
    <t xml:space="preserve">Taxa de occisão (occisões / recolhidos)</t>
  </si>
  <si>
    <t xml:space="preserve">Taxa considerada (recolhidos ≥ mínimo)</t>
  </si>
  <si>
    <t xml:space="preserve">Mínimo de recolhidos para entrar na comparação</t>
  </si>
  <si>
    <t xml:space="preserve">Taxa nacional das restantes entidades (total de occisões / total de recolhidos)</t>
  </si>
  <si>
    <t xml:space="preserve">Média das taxas (entidades com recolhidos ≥ mínimo)</t>
  </si>
  <si>
    <t xml:space="preserve">Mediana das taxas (entidades com recolhidos ≥ mínimo)</t>
  </si>
  <si>
    <t xml:space="preserve">Taxa de occisão do CIRAE</t>
  </si>
  <si>
    <t xml:space="preserve">CIRAE em relação à taxa nacional (n.º de vezes)</t>
  </si>
  <si>
    <t xml:space="preserve">Posição do CIRAE (1 = taxa mais alta)</t>
  </si>
  <si>
    <t xml:space="preserve">N.º de entidades comparadas (incluindo o CIRAE)</t>
  </si>
  <si>
    <t xml:space="preserve">A taxa mede as occisões por cada animal recolhido. Retira o efeito da dimensão: Lisboa tem 122 occisões em 2 554 recolhidos (4,8 %), perto da taxa nacional.</t>
  </si>
  <si>
    <t xml:space="preserve">A taxa nacional é ponderada (soma das occisões a dividir pela soma dos recolhidos). A média e a mediana tratam cada entidade por igual e só contam as entidades com o mínimo de recolhidos da célula H2.</t>
  </si>
  <si>
    <t xml:space="preserve">Os animais occisados num ano podem ter entrado no ano anterior. A taxa é um indicador anual e não um seguimento animal a animal.</t>
  </si>
  <si>
    <t xml:space="preserve">Os municípios do CIRAE com mais atividade têm também taxas altas em separado: ver a folha «Composição CIRAE».</t>
  </si>
  <si>
    <t xml:space="preserve">Município (CIRAE)</t>
  </si>
  <si>
    <t xml:space="preserve">Taxa de occisão</t>
  </si>
  <si>
    <t xml:space="preserve">Origem no relatório</t>
  </si>
  <si>
    <t xml:space="preserve">Nota</t>
  </si>
  <si>
    <t xml:space="preserve">Proença-a-Nova</t>
  </si>
  <si>
    <t xml:space="preserve">Tabela 1</t>
  </si>
  <si>
    <t xml:space="preserve">Mação</t>
  </si>
  <si>
    <t xml:space="preserve">Sertã</t>
  </si>
  <si>
    <t xml:space="preserve">Oleiros</t>
  </si>
  <si>
    <t xml:space="preserve">Vila de Rei</t>
  </si>
  <si>
    <t xml:space="preserve">Vila Velha de Rodão</t>
  </si>
  <si>
    <t xml:space="preserve">«NF» (não facultado) nas duas colunas; conta como 0 nas somas</t>
  </si>
  <si>
    <t xml:space="preserve">Nisa</t>
  </si>
  <si>
    <t xml:space="preserve">Ferreira do Zêzere</t>
  </si>
  <si>
    <t xml:space="preserve">Idanha-a-Nova</t>
  </si>
  <si>
    <t xml:space="preserve">Tabela 2 (município sem CRO registado)</t>
  </si>
  <si>
    <t xml:space="preserve">Penamacor</t>
  </si>
  <si>
    <t xml:space="preserve">Pampilhosa da Serra</t>
  </si>
  <si>
    <t xml:space="preserve">Occisões em branco no relatório; conta como 0 na soma</t>
  </si>
  <si>
    <t xml:space="preserve">Total CIRAE (11 municípios)</t>
  </si>
  <si>
    <t xml:space="preserve">Municípios: lista da notícia da Lusa de 22.8.2026 e Regulamento n.º 164/2022 (Gavião e Ourém já não integram o CIRAE). Ferreira do Zêzere tem também protocolo com Tomar (lista de CRO da DGAV de 4.8.2026).</t>
  </si>
  <si>
    <t xml:space="preserve">Fonte: DGAV, Relatório de atividade dos Centros de Recolha Oficial, ano 2025 (31.3.2026), Tabela 1, colunas «Animais Recolhidos» e «Animais Eutanasiados». https://www.dgav.pt/wp-content/uploads/2026/03/Relatorio_CROs_2025_31032026-rev.pdf Tabela 2 para Idanha-a-Nova, Penamacor e Pampilhosa da Serra.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</si>
</sst>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General"/>
    <numFmt numFmtId="166" formatCode="0.0"/>
    <numFmt numFmtId="167" formatCode="0"/>
    <numFmt numFmtId="168" formatCode="0.0\x"/>
    <numFmt numFmtId="169" formatCode="0.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008000"/>
      <name val="Arial"/>
      <family val="0"/>
      <charset val="1"/>
    </font>
    <font>
      <sz val="11"/>
      <color rgb="FF0000FF"/>
      <name val="Arial"/>
      <family val="0"/>
      <charset val="1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  <fill>
      <patternFill patternType="solid">
        <fgColor rgb="FFFFF2CC"/>
        <bgColor rgb="FFFFFFFF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9" fontId="4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7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5"/>
    <col collapsed="false" customWidth="true" hidden="false" outlineLevel="0" max="3" min="3" style="0" width="3"/>
    <col collapsed="false" customWidth="true" hidden="false" outlineLevel="0" max="4" min="4" style="0" width="48"/>
    <col collapsed="false" customWidth="true" hidden="false" outlineLevel="0" max="5" min="5" style="0" width="34"/>
  </cols>
  <sheetData>
    <row r="1" customFormat="false" ht="15" hidden="false" customHeight="false" outlineLevel="0" collapsed="false">
      <c r="A1" s="1" t="s">
        <v>0</v>
      </c>
      <c r="B1" s="1" t="s">
        <v>1</v>
      </c>
      <c r="C1" s="2"/>
      <c r="D1" s="1" t="s">
        <v>2</v>
      </c>
      <c r="E1" s="1" t="s">
        <v>3</v>
      </c>
    </row>
    <row r="2" customFormat="false" ht="15" hidden="false" customHeight="false" outlineLevel="0" collapsed="false">
      <c r="A2" s="3" t="s">
        <v>4</v>
      </c>
      <c r="B2" s="4" t="n">
        <f aca="false">'Composição CIRAE'!C13</f>
        <v>79</v>
      </c>
      <c r="C2" s="2"/>
      <c r="D2" s="5" t="s">
        <v>5</v>
      </c>
      <c r="E2" s="6" t="n">
        <f aca="false">AVERAGE(B3:B172)</f>
        <v>10.1764705882353</v>
      </c>
    </row>
    <row r="3" customFormat="false" ht="15" hidden="false" customHeight="false" outlineLevel="0" collapsed="false">
      <c r="A3" s="5" t="s">
        <v>6</v>
      </c>
      <c r="B3" s="7" t="n">
        <v>122</v>
      </c>
      <c r="C3" s="2"/>
      <c r="D3" s="5" t="s">
        <v>7</v>
      </c>
      <c r="E3" s="6" t="n">
        <f aca="false">MEDIAN(B3:B172)</f>
        <v>3.5</v>
      </c>
    </row>
    <row r="4" customFormat="false" ht="15" hidden="false" customHeight="false" outlineLevel="0" collapsed="false">
      <c r="A4" s="5" t="s">
        <v>8</v>
      </c>
      <c r="B4" s="7" t="n">
        <v>86</v>
      </c>
      <c r="C4" s="2"/>
      <c r="D4" s="5" t="s">
        <v>9</v>
      </c>
      <c r="E4" s="8" t="n">
        <f aca="false">B2</f>
        <v>79</v>
      </c>
    </row>
    <row r="5" customFormat="false" ht="15" hidden="false" customHeight="false" outlineLevel="0" collapsed="false">
      <c r="A5" s="5" t="s">
        <v>10</v>
      </c>
      <c r="B5" s="7" t="n">
        <v>65</v>
      </c>
      <c r="C5" s="2"/>
      <c r="D5" s="5" t="s">
        <v>11</v>
      </c>
      <c r="E5" s="9" t="n">
        <f aca="false">E4/E2</f>
        <v>7.76300578034682</v>
      </c>
    </row>
    <row r="6" customFormat="false" ht="15" hidden="false" customHeight="false" outlineLevel="0" collapsed="false">
      <c r="A6" s="5" t="s">
        <v>12</v>
      </c>
      <c r="B6" s="7" t="n">
        <v>65</v>
      </c>
      <c r="C6" s="2"/>
      <c r="D6" s="5" t="s">
        <v>13</v>
      </c>
      <c r="E6" s="9" t="n">
        <f aca="false">E4/E3</f>
        <v>22.5714285714286</v>
      </c>
    </row>
    <row r="7" customFormat="false" ht="15" hidden="false" customHeight="false" outlineLevel="0" collapsed="false">
      <c r="A7" s="5" t="s">
        <v>14</v>
      </c>
      <c r="B7" s="7" t="n">
        <v>63</v>
      </c>
      <c r="C7" s="2"/>
      <c r="D7" s="5" t="s">
        <v>15</v>
      </c>
      <c r="E7" s="10" t="n">
        <f aca="false">B2/SUM(B2:B172)</f>
        <v>0.0436705362078496</v>
      </c>
    </row>
    <row r="8" customFormat="false" ht="15" hidden="false" customHeight="false" outlineLevel="0" collapsed="false">
      <c r="A8" s="5" t="s">
        <v>16</v>
      </c>
      <c r="B8" s="7" t="n">
        <v>58</v>
      </c>
      <c r="C8" s="2"/>
      <c r="D8" s="5" t="s">
        <v>17</v>
      </c>
      <c r="E8" s="8" t="n">
        <f aca="false">RANK(B2,B2:B172)</f>
        <v>3</v>
      </c>
    </row>
    <row r="9" customFormat="false" ht="15" hidden="false" customHeight="false" outlineLevel="0" collapsed="false">
      <c r="A9" s="5" t="s">
        <v>18</v>
      </c>
      <c r="B9" s="7" t="n">
        <v>50</v>
      </c>
      <c r="C9" s="2"/>
      <c r="D9" s="5" t="s">
        <v>19</v>
      </c>
      <c r="E9" s="8" t="n">
        <f aca="false">COUNT(B2:B172)</f>
        <v>171</v>
      </c>
    </row>
    <row r="10" customFormat="false" ht="15" hidden="false" customHeight="false" outlineLevel="0" collapsed="false">
      <c r="A10" s="5" t="s">
        <v>20</v>
      </c>
      <c r="B10" s="7" t="n">
        <v>49</v>
      </c>
      <c r="C10" s="2"/>
      <c r="D10" s="2"/>
      <c r="E10" s="2"/>
    </row>
    <row r="11" customFormat="false" ht="15" hidden="false" customHeight="true" outlineLevel="0" collapsed="false">
      <c r="A11" s="5" t="s">
        <v>21</v>
      </c>
      <c r="B11" s="7" t="n">
        <v>43</v>
      </c>
      <c r="C11" s="2"/>
      <c r="D11" s="11" t="s">
        <v>22</v>
      </c>
      <c r="E11" s="11"/>
    </row>
    <row r="12" customFormat="false" ht="48" hidden="false" customHeight="true" outlineLevel="0" collapsed="false">
      <c r="A12" s="5" t="s">
        <v>23</v>
      </c>
      <c r="B12" s="7" t="n">
        <v>43</v>
      </c>
      <c r="C12" s="2"/>
      <c r="D12" s="12" t="s">
        <v>24</v>
      </c>
      <c r="E12" s="12"/>
    </row>
    <row r="13" customFormat="false" ht="48" hidden="false" customHeight="true" outlineLevel="0" collapsed="false">
      <c r="A13" s="5" t="s">
        <v>25</v>
      </c>
      <c r="B13" s="7" t="n">
        <v>41</v>
      </c>
      <c r="C13" s="2"/>
      <c r="D13" s="12" t="s">
        <v>26</v>
      </c>
      <c r="E13" s="12"/>
    </row>
    <row r="14" customFormat="false" ht="48" hidden="false" customHeight="true" outlineLevel="0" collapsed="false">
      <c r="A14" s="5" t="s">
        <v>27</v>
      </c>
      <c r="B14" s="7" t="n">
        <v>34</v>
      </c>
      <c r="C14" s="2"/>
      <c r="D14" s="12" t="s">
        <v>28</v>
      </c>
      <c r="E14" s="12"/>
    </row>
    <row r="15" customFormat="false" ht="48" hidden="false" customHeight="true" outlineLevel="0" collapsed="false">
      <c r="A15" s="5" t="s">
        <v>29</v>
      </c>
      <c r="B15" s="7" t="n">
        <v>34</v>
      </c>
      <c r="C15" s="2"/>
      <c r="D15" s="12" t="s">
        <v>30</v>
      </c>
      <c r="E15" s="12"/>
    </row>
    <row r="16" customFormat="false" ht="48" hidden="false" customHeight="true" outlineLevel="0" collapsed="false">
      <c r="A16" s="5" t="s">
        <v>31</v>
      </c>
      <c r="B16" s="7" t="n">
        <v>30</v>
      </c>
      <c r="C16" s="2"/>
      <c r="D16" s="12" t="s">
        <v>32</v>
      </c>
      <c r="E16" s="12"/>
    </row>
    <row r="17" customFormat="false" ht="15" hidden="false" customHeight="false" outlineLevel="0" collapsed="false">
      <c r="A17" s="5" t="s">
        <v>33</v>
      </c>
      <c r="B17" s="7" t="n">
        <v>29</v>
      </c>
      <c r="C17" s="2"/>
      <c r="D17" s="2"/>
      <c r="E17" s="2"/>
    </row>
    <row r="18" customFormat="false" ht="15" hidden="false" customHeight="false" outlineLevel="0" collapsed="false">
      <c r="A18" s="5" t="s">
        <v>34</v>
      </c>
      <c r="B18" s="7" t="n">
        <v>29</v>
      </c>
      <c r="C18" s="2"/>
      <c r="D18" s="2"/>
      <c r="E18" s="2"/>
    </row>
    <row r="19" customFormat="false" ht="15" hidden="false" customHeight="false" outlineLevel="0" collapsed="false">
      <c r="A19" s="5" t="s">
        <v>35</v>
      </c>
      <c r="B19" s="7" t="n">
        <v>29</v>
      </c>
      <c r="C19" s="2"/>
      <c r="D19" s="2"/>
      <c r="E19" s="2"/>
    </row>
    <row r="20" customFormat="false" ht="15" hidden="false" customHeight="false" outlineLevel="0" collapsed="false">
      <c r="A20" s="5" t="s">
        <v>36</v>
      </c>
      <c r="B20" s="7" t="n">
        <v>28</v>
      </c>
      <c r="C20" s="2"/>
      <c r="D20" s="2"/>
      <c r="E20" s="2"/>
    </row>
    <row r="21" customFormat="false" ht="15" hidden="false" customHeight="false" outlineLevel="0" collapsed="false">
      <c r="A21" s="5" t="s">
        <v>37</v>
      </c>
      <c r="B21" s="7" t="n">
        <v>27</v>
      </c>
      <c r="C21" s="2"/>
      <c r="D21" s="2"/>
      <c r="E21" s="2"/>
    </row>
    <row r="22" customFormat="false" ht="15" hidden="false" customHeight="false" outlineLevel="0" collapsed="false">
      <c r="A22" s="5" t="s">
        <v>38</v>
      </c>
      <c r="B22" s="7" t="n">
        <v>27</v>
      </c>
      <c r="C22" s="2"/>
      <c r="D22" s="2"/>
      <c r="E22" s="2"/>
    </row>
    <row r="23" customFormat="false" ht="15" hidden="false" customHeight="false" outlineLevel="0" collapsed="false">
      <c r="A23" s="5" t="s">
        <v>39</v>
      </c>
      <c r="B23" s="7" t="n">
        <v>27</v>
      </c>
      <c r="C23" s="2"/>
      <c r="D23" s="2"/>
      <c r="E23" s="2"/>
    </row>
    <row r="24" customFormat="false" ht="15" hidden="false" customHeight="false" outlineLevel="0" collapsed="false">
      <c r="A24" s="5" t="s">
        <v>40</v>
      </c>
      <c r="B24" s="7" t="n">
        <v>24</v>
      </c>
      <c r="C24" s="2"/>
      <c r="D24" s="2"/>
      <c r="E24" s="2"/>
    </row>
    <row r="25" customFormat="false" ht="15" hidden="false" customHeight="false" outlineLevel="0" collapsed="false">
      <c r="A25" s="5" t="s">
        <v>41</v>
      </c>
      <c r="B25" s="7" t="n">
        <v>24</v>
      </c>
      <c r="C25" s="2"/>
      <c r="D25" s="2"/>
      <c r="E25" s="2"/>
    </row>
    <row r="26" customFormat="false" ht="15" hidden="false" customHeight="false" outlineLevel="0" collapsed="false">
      <c r="A26" s="5" t="s">
        <v>42</v>
      </c>
      <c r="B26" s="7" t="n">
        <v>24</v>
      </c>
      <c r="C26" s="2"/>
      <c r="D26" s="2"/>
      <c r="E26" s="2"/>
    </row>
    <row r="27" customFormat="false" ht="15" hidden="false" customHeight="false" outlineLevel="0" collapsed="false">
      <c r="A27" s="5" t="s">
        <v>43</v>
      </c>
      <c r="B27" s="7" t="n">
        <v>23</v>
      </c>
      <c r="C27" s="2"/>
      <c r="D27" s="2"/>
      <c r="E27" s="2"/>
    </row>
    <row r="28" customFormat="false" ht="15" hidden="false" customHeight="false" outlineLevel="0" collapsed="false">
      <c r="A28" s="5" t="s">
        <v>44</v>
      </c>
      <c r="B28" s="7" t="n">
        <v>22</v>
      </c>
      <c r="C28" s="2"/>
      <c r="D28" s="2"/>
      <c r="E28" s="2"/>
    </row>
    <row r="29" customFormat="false" ht="15" hidden="false" customHeight="false" outlineLevel="0" collapsed="false">
      <c r="A29" s="5" t="s">
        <v>45</v>
      </c>
      <c r="B29" s="7" t="n">
        <v>19</v>
      </c>
      <c r="C29" s="2"/>
      <c r="D29" s="2"/>
      <c r="E29" s="2"/>
    </row>
    <row r="30" customFormat="false" ht="15" hidden="false" customHeight="false" outlineLevel="0" collapsed="false">
      <c r="A30" s="5" t="s">
        <v>46</v>
      </c>
      <c r="B30" s="7" t="n">
        <v>18</v>
      </c>
      <c r="C30" s="2"/>
      <c r="D30" s="2"/>
      <c r="E30" s="2"/>
    </row>
    <row r="31" customFormat="false" ht="15" hidden="false" customHeight="false" outlineLevel="0" collapsed="false">
      <c r="A31" s="5" t="s">
        <v>47</v>
      </c>
      <c r="B31" s="7" t="n">
        <v>18</v>
      </c>
      <c r="C31" s="2"/>
      <c r="D31" s="2"/>
      <c r="E31" s="2"/>
    </row>
    <row r="32" customFormat="false" ht="15" hidden="false" customHeight="false" outlineLevel="0" collapsed="false">
      <c r="A32" s="5" t="s">
        <v>48</v>
      </c>
      <c r="B32" s="7" t="n">
        <v>17</v>
      </c>
      <c r="C32" s="2"/>
      <c r="D32" s="2"/>
      <c r="E32" s="2"/>
    </row>
    <row r="33" customFormat="false" ht="15" hidden="false" customHeight="false" outlineLevel="0" collapsed="false">
      <c r="A33" s="5" t="s">
        <v>49</v>
      </c>
      <c r="B33" s="7" t="n">
        <v>17</v>
      </c>
      <c r="C33" s="2"/>
      <c r="D33" s="2"/>
      <c r="E33" s="2"/>
    </row>
    <row r="34" customFormat="false" ht="15" hidden="false" customHeight="false" outlineLevel="0" collapsed="false">
      <c r="A34" s="5" t="s">
        <v>50</v>
      </c>
      <c r="B34" s="7" t="n">
        <v>16</v>
      </c>
      <c r="C34" s="2"/>
      <c r="D34" s="2"/>
      <c r="E34" s="2"/>
    </row>
    <row r="35" customFormat="false" ht="15" hidden="false" customHeight="false" outlineLevel="0" collapsed="false">
      <c r="A35" s="5" t="s">
        <v>51</v>
      </c>
      <c r="B35" s="7" t="n">
        <v>16</v>
      </c>
      <c r="C35" s="2"/>
      <c r="D35" s="2"/>
      <c r="E35" s="2"/>
    </row>
    <row r="36" customFormat="false" ht="15" hidden="false" customHeight="false" outlineLevel="0" collapsed="false">
      <c r="A36" s="5" t="s">
        <v>52</v>
      </c>
      <c r="B36" s="7" t="n">
        <v>16</v>
      </c>
      <c r="C36" s="2"/>
      <c r="D36" s="2"/>
      <c r="E36" s="2"/>
    </row>
    <row r="37" customFormat="false" ht="15" hidden="false" customHeight="false" outlineLevel="0" collapsed="false">
      <c r="A37" s="5" t="s">
        <v>53</v>
      </c>
      <c r="B37" s="7" t="n">
        <v>16</v>
      </c>
      <c r="C37" s="2"/>
      <c r="D37" s="2"/>
      <c r="E37" s="2"/>
    </row>
    <row r="38" customFormat="false" ht="15" hidden="false" customHeight="false" outlineLevel="0" collapsed="false">
      <c r="A38" s="5" t="s">
        <v>54</v>
      </c>
      <c r="B38" s="7" t="n">
        <v>15</v>
      </c>
      <c r="C38" s="2"/>
      <c r="D38" s="2"/>
      <c r="E38" s="2"/>
    </row>
    <row r="39" customFormat="false" ht="15" hidden="false" customHeight="false" outlineLevel="0" collapsed="false">
      <c r="A39" s="5" t="s">
        <v>55</v>
      </c>
      <c r="B39" s="7" t="n">
        <v>15</v>
      </c>
      <c r="C39" s="2"/>
      <c r="D39" s="2"/>
      <c r="E39" s="2"/>
    </row>
    <row r="40" customFormat="false" ht="15" hidden="false" customHeight="false" outlineLevel="0" collapsed="false">
      <c r="A40" s="5" t="s">
        <v>56</v>
      </c>
      <c r="B40" s="7" t="n">
        <v>15</v>
      </c>
      <c r="C40" s="2"/>
      <c r="D40" s="2"/>
      <c r="E40" s="2"/>
    </row>
    <row r="41" customFormat="false" ht="15" hidden="false" customHeight="false" outlineLevel="0" collapsed="false">
      <c r="A41" s="5" t="s">
        <v>57</v>
      </c>
      <c r="B41" s="7" t="n">
        <v>14</v>
      </c>
      <c r="C41" s="2"/>
      <c r="D41" s="2"/>
      <c r="E41" s="2"/>
    </row>
    <row r="42" customFormat="false" ht="15" hidden="false" customHeight="false" outlineLevel="0" collapsed="false">
      <c r="A42" s="5" t="s">
        <v>58</v>
      </c>
      <c r="B42" s="7" t="n">
        <v>13</v>
      </c>
      <c r="C42" s="2"/>
      <c r="D42" s="2"/>
      <c r="E42" s="2"/>
    </row>
    <row r="43" customFormat="false" ht="15" hidden="false" customHeight="false" outlineLevel="0" collapsed="false">
      <c r="A43" s="5" t="s">
        <v>59</v>
      </c>
      <c r="B43" s="7" t="n">
        <v>13</v>
      </c>
      <c r="C43" s="2"/>
      <c r="D43" s="2"/>
      <c r="E43" s="2"/>
    </row>
    <row r="44" customFormat="false" ht="15" hidden="false" customHeight="false" outlineLevel="0" collapsed="false">
      <c r="A44" s="5" t="s">
        <v>60</v>
      </c>
      <c r="B44" s="7" t="n">
        <v>13</v>
      </c>
      <c r="C44" s="2"/>
      <c r="D44" s="2"/>
      <c r="E44" s="2"/>
    </row>
    <row r="45" customFormat="false" ht="15" hidden="false" customHeight="false" outlineLevel="0" collapsed="false">
      <c r="A45" s="5" t="s">
        <v>61</v>
      </c>
      <c r="B45" s="7" t="n">
        <v>13</v>
      </c>
      <c r="C45" s="2"/>
      <c r="D45" s="2"/>
      <c r="E45" s="2"/>
    </row>
    <row r="46" customFormat="false" ht="15" hidden="false" customHeight="false" outlineLevel="0" collapsed="false">
      <c r="A46" s="5" t="s">
        <v>62</v>
      </c>
      <c r="B46" s="7" t="n">
        <v>13</v>
      </c>
      <c r="C46" s="2"/>
      <c r="D46" s="2"/>
      <c r="E46" s="2"/>
    </row>
    <row r="47" customFormat="false" ht="15" hidden="false" customHeight="false" outlineLevel="0" collapsed="false">
      <c r="A47" s="5" t="s">
        <v>63</v>
      </c>
      <c r="B47" s="7" t="n">
        <v>12</v>
      </c>
      <c r="C47" s="2"/>
      <c r="D47" s="2"/>
      <c r="E47" s="2"/>
    </row>
    <row r="48" customFormat="false" ht="15" hidden="false" customHeight="false" outlineLevel="0" collapsed="false">
      <c r="A48" s="5" t="s">
        <v>64</v>
      </c>
      <c r="B48" s="7" t="n">
        <v>12</v>
      </c>
      <c r="C48" s="2"/>
      <c r="D48" s="2"/>
      <c r="E48" s="2"/>
    </row>
    <row r="49" customFormat="false" ht="15" hidden="false" customHeight="false" outlineLevel="0" collapsed="false">
      <c r="A49" s="5" t="s">
        <v>65</v>
      </c>
      <c r="B49" s="7" t="n">
        <v>11</v>
      </c>
      <c r="C49" s="2"/>
      <c r="D49" s="2"/>
      <c r="E49" s="2"/>
    </row>
    <row r="50" customFormat="false" ht="15" hidden="false" customHeight="false" outlineLevel="0" collapsed="false">
      <c r="A50" s="5" t="s">
        <v>66</v>
      </c>
      <c r="B50" s="7" t="n">
        <v>11</v>
      </c>
      <c r="C50" s="2"/>
      <c r="D50" s="2"/>
      <c r="E50" s="2"/>
    </row>
    <row r="51" customFormat="false" ht="15" hidden="false" customHeight="false" outlineLevel="0" collapsed="false">
      <c r="A51" s="5" t="s">
        <v>67</v>
      </c>
      <c r="B51" s="7" t="n">
        <v>11</v>
      </c>
      <c r="C51" s="2"/>
      <c r="D51" s="2"/>
      <c r="E51" s="2"/>
    </row>
    <row r="52" customFormat="false" ht="15" hidden="false" customHeight="false" outlineLevel="0" collapsed="false">
      <c r="A52" s="5" t="s">
        <v>68</v>
      </c>
      <c r="B52" s="7" t="n">
        <v>11</v>
      </c>
      <c r="C52" s="2"/>
      <c r="D52" s="2"/>
      <c r="E52" s="2"/>
    </row>
    <row r="53" customFormat="false" ht="15" hidden="false" customHeight="false" outlineLevel="0" collapsed="false">
      <c r="A53" s="5" t="s">
        <v>69</v>
      </c>
      <c r="B53" s="7" t="n">
        <v>10</v>
      </c>
      <c r="C53" s="2"/>
      <c r="D53" s="2"/>
      <c r="E53" s="2"/>
    </row>
    <row r="54" customFormat="false" ht="15" hidden="false" customHeight="false" outlineLevel="0" collapsed="false">
      <c r="A54" s="5" t="s">
        <v>70</v>
      </c>
      <c r="B54" s="7" t="n">
        <v>10</v>
      </c>
      <c r="C54" s="2"/>
      <c r="D54" s="2"/>
      <c r="E54" s="2"/>
    </row>
    <row r="55" customFormat="false" ht="15" hidden="false" customHeight="false" outlineLevel="0" collapsed="false">
      <c r="A55" s="5" t="s">
        <v>71</v>
      </c>
      <c r="B55" s="7" t="n">
        <v>10</v>
      </c>
      <c r="C55" s="2"/>
      <c r="D55" s="2"/>
      <c r="E55" s="2"/>
    </row>
    <row r="56" customFormat="false" ht="15" hidden="false" customHeight="false" outlineLevel="0" collapsed="false">
      <c r="A56" s="5" t="s">
        <v>72</v>
      </c>
      <c r="B56" s="7" t="n">
        <v>9</v>
      </c>
      <c r="C56" s="2"/>
      <c r="D56" s="2"/>
      <c r="E56" s="2"/>
    </row>
    <row r="57" customFormat="false" ht="15" hidden="false" customHeight="false" outlineLevel="0" collapsed="false">
      <c r="A57" s="5" t="s">
        <v>73</v>
      </c>
      <c r="B57" s="7" t="n">
        <v>9</v>
      </c>
      <c r="C57" s="2"/>
      <c r="D57" s="2"/>
      <c r="E57" s="2"/>
    </row>
    <row r="58" customFormat="false" ht="15" hidden="false" customHeight="false" outlineLevel="0" collapsed="false">
      <c r="A58" s="5" t="s">
        <v>74</v>
      </c>
      <c r="B58" s="7" t="n">
        <v>8</v>
      </c>
      <c r="C58" s="2"/>
      <c r="D58" s="2"/>
      <c r="E58" s="2"/>
    </row>
    <row r="59" customFormat="false" ht="15" hidden="false" customHeight="false" outlineLevel="0" collapsed="false">
      <c r="A59" s="5" t="s">
        <v>75</v>
      </c>
      <c r="B59" s="7" t="n">
        <v>8</v>
      </c>
      <c r="C59" s="2"/>
      <c r="D59" s="2"/>
      <c r="E59" s="2"/>
    </row>
    <row r="60" customFormat="false" ht="15" hidden="false" customHeight="false" outlineLevel="0" collapsed="false">
      <c r="A60" s="5" t="s">
        <v>76</v>
      </c>
      <c r="B60" s="7" t="n">
        <v>8</v>
      </c>
      <c r="C60" s="2"/>
      <c r="D60" s="2"/>
      <c r="E60" s="2"/>
    </row>
    <row r="61" customFormat="false" ht="15" hidden="false" customHeight="false" outlineLevel="0" collapsed="false">
      <c r="A61" s="5" t="s">
        <v>77</v>
      </c>
      <c r="B61" s="7" t="n">
        <v>7</v>
      </c>
      <c r="C61" s="2"/>
      <c r="D61" s="2"/>
      <c r="E61" s="2"/>
    </row>
    <row r="62" customFormat="false" ht="15" hidden="false" customHeight="false" outlineLevel="0" collapsed="false">
      <c r="A62" s="5" t="s">
        <v>78</v>
      </c>
      <c r="B62" s="7" t="n">
        <v>7</v>
      </c>
      <c r="C62" s="2"/>
      <c r="D62" s="2"/>
      <c r="E62" s="2"/>
    </row>
    <row r="63" customFormat="false" ht="15" hidden="false" customHeight="false" outlineLevel="0" collapsed="false">
      <c r="A63" s="5" t="s">
        <v>79</v>
      </c>
      <c r="B63" s="7" t="n">
        <v>7</v>
      </c>
      <c r="C63" s="2"/>
      <c r="D63" s="2"/>
      <c r="E63" s="2"/>
    </row>
    <row r="64" customFormat="false" ht="15" hidden="false" customHeight="false" outlineLevel="0" collapsed="false">
      <c r="A64" s="5" t="s">
        <v>80</v>
      </c>
      <c r="B64" s="7" t="n">
        <v>7</v>
      </c>
      <c r="C64" s="2"/>
      <c r="D64" s="2"/>
      <c r="E64" s="2"/>
    </row>
    <row r="65" customFormat="false" ht="15" hidden="false" customHeight="false" outlineLevel="0" collapsed="false">
      <c r="A65" s="5" t="s">
        <v>81</v>
      </c>
      <c r="B65" s="7" t="n">
        <v>7</v>
      </c>
      <c r="C65" s="2"/>
      <c r="D65" s="2"/>
      <c r="E65" s="2"/>
    </row>
    <row r="66" customFormat="false" ht="15" hidden="false" customHeight="false" outlineLevel="0" collapsed="false">
      <c r="A66" s="5" t="s">
        <v>82</v>
      </c>
      <c r="B66" s="7" t="n">
        <v>6</v>
      </c>
      <c r="C66" s="2"/>
      <c r="D66" s="2"/>
      <c r="E66" s="2"/>
    </row>
    <row r="67" customFormat="false" ht="15" hidden="false" customHeight="false" outlineLevel="0" collapsed="false">
      <c r="A67" s="5" t="s">
        <v>83</v>
      </c>
      <c r="B67" s="7" t="n">
        <v>6</v>
      </c>
      <c r="C67" s="2"/>
      <c r="D67" s="2"/>
      <c r="E67" s="2"/>
    </row>
    <row r="68" customFormat="false" ht="15" hidden="false" customHeight="false" outlineLevel="0" collapsed="false">
      <c r="A68" s="5" t="s">
        <v>84</v>
      </c>
      <c r="B68" s="7" t="n">
        <v>6</v>
      </c>
      <c r="C68" s="2"/>
      <c r="D68" s="2"/>
      <c r="E68" s="2"/>
    </row>
    <row r="69" customFormat="false" ht="15" hidden="false" customHeight="false" outlineLevel="0" collapsed="false">
      <c r="A69" s="5" t="s">
        <v>85</v>
      </c>
      <c r="B69" s="7" t="n">
        <v>6</v>
      </c>
      <c r="C69" s="2"/>
      <c r="D69" s="2"/>
      <c r="E69" s="2"/>
    </row>
    <row r="70" customFormat="false" ht="15" hidden="false" customHeight="false" outlineLevel="0" collapsed="false">
      <c r="A70" s="5" t="s">
        <v>86</v>
      </c>
      <c r="B70" s="7" t="n">
        <v>6</v>
      </c>
      <c r="C70" s="2"/>
      <c r="D70" s="2"/>
      <c r="E70" s="2"/>
    </row>
    <row r="71" customFormat="false" ht="15" hidden="false" customHeight="false" outlineLevel="0" collapsed="false">
      <c r="A71" s="5" t="s">
        <v>87</v>
      </c>
      <c r="B71" s="7" t="n">
        <v>6</v>
      </c>
      <c r="C71" s="2"/>
      <c r="D71" s="2"/>
      <c r="E71" s="2"/>
    </row>
    <row r="72" customFormat="false" ht="15" hidden="false" customHeight="false" outlineLevel="0" collapsed="false">
      <c r="A72" s="5" t="s">
        <v>88</v>
      </c>
      <c r="B72" s="7" t="n">
        <v>6</v>
      </c>
      <c r="C72" s="2"/>
      <c r="D72" s="2"/>
      <c r="E72" s="2"/>
    </row>
    <row r="73" customFormat="false" ht="15" hidden="false" customHeight="false" outlineLevel="0" collapsed="false">
      <c r="A73" s="5" t="s">
        <v>89</v>
      </c>
      <c r="B73" s="7" t="n">
        <v>5</v>
      </c>
      <c r="C73" s="2"/>
      <c r="D73" s="2"/>
      <c r="E73" s="2"/>
    </row>
    <row r="74" customFormat="false" ht="15" hidden="false" customHeight="false" outlineLevel="0" collapsed="false">
      <c r="A74" s="5" t="s">
        <v>90</v>
      </c>
      <c r="B74" s="7" t="n">
        <v>5</v>
      </c>
      <c r="C74" s="2"/>
      <c r="D74" s="2"/>
      <c r="E74" s="2"/>
    </row>
    <row r="75" customFormat="false" ht="15" hidden="false" customHeight="false" outlineLevel="0" collapsed="false">
      <c r="A75" s="5" t="s">
        <v>91</v>
      </c>
      <c r="B75" s="7" t="n">
        <v>5</v>
      </c>
      <c r="C75" s="2"/>
      <c r="D75" s="2"/>
      <c r="E75" s="2"/>
    </row>
    <row r="76" customFormat="false" ht="15" hidden="false" customHeight="false" outlineLevel="0" collapsed="false">
      <c r="A76" s="5" t="s">
        <v>92</v>
      </c>
      <c r="B76" s="7" t="n">
        <v>5</v>
      </c>
      <c r="C76" s="2"/>
      <c r="D76" s="2"/>
      <c r="E76" s="2"/>
    </row>
    <row r="77" customFormat="false" ht="15" hidden="false" customHeight="false" outlineLevel="0" collapsed="false">
      <c r="A77" s="5" t="s">
        <v>93</v>
      </c>
      <c r="B77" s="7" t="n">
        <v>5</v>
      </c>
      <c r="C77" s="2"/>
      <c r="D77" s="2"/>
      <c r="E77" s="2"/>
    </row>
    <row r="78" customFormat="false" ht="15" hidden="false" customHeight="false" outlineLevel="0" collapsed="false">
      <c r="A78" s="5" t="s">
        <v>94</v>
      </c>
      <c r="B78" s="7" t="n">
        <v>5</v>
      </c>
      <c r="C78" s="2"/>
      <c r="D78" s="2"/>
      <c r="E78" s="2"/>
    </row>
    <row r="79" customFormat="false" ht="15" hidden="false" customHeight="false" outlineLevel="0" collapsed="false">
      <c r="A79" s="5" t="s">
        <v>95</v>
      </c>
      <c r="B79" s="7" t="n">
        <v>5</v>
      </c>
      <c r="C79" s="2"/>
      <c r="D79" s="2"/>
      <c r="E79" s="2"/>
    </row>
    <row r="80" customFormat="false" ht="15" hidden="false" customHeight="false" outlineLevel="0" collapsed="false">
      <c r="A80" s="5" t="s">
        <v>96</v>
      </c>
      <c r="B80" s="7" t="n">
        <v>5</v>
      </c>
      <c r="C80" s="2"/>
      <c r="D80" s="2"/>
      <c r="E80" s="2"/>
    </row>
    <row r="81" customFormat="false" ht="15" hidden="false" customHeight="false" outlineLevel="0" collapsed="false">
      <c r="A81" s="5" t="s">
        <v>97</v>
      </c>
      <c r="B81" s="7" t="n">
        <v>5</v>
      </c>
      <c r="C81" s="2"/>
      <c r="D81" s="2"/>
      <c r="E81" s="2"/>
    </row>
    <row r="82" customFormat="false" ht="15" hidden="false" customHeight="false" outlineLevel="0" collapsed="false">
      <c r="A82" s="5" t="s">
        <v>98</v>
      </c>
      <c r="B82" s="7" t="n">
        <v>4</v>
      </c>
      <c r="C82" s="2"/>
      <c r="D82" s="2"/>
      <c r="E82" s="2"/>
    </row>
    <row r="83" customFormat="false" ht="15" hidden="false" customHeight="false" outlineLevel="0" collapsed="false">
      <c r="A83" s="5" t="s">
        <v>99</v>
      </c>
      <c r="B83" s="7" t="n">
        <v>4</v>
      </c>
      <c r="C83" s="2"/>
      <c r="D83" s="2"/>
      <c r="E83" s="2"/>
    </row>
    <row r="84" customFormat="false" ht="15" hidden="false" customHeight="false" outlineLevel="0" collapsed="false">
      <c r="A84" s="5" t="s">
        <v>100</v>
      </c>
      <c r="B84" s="7" t="n">
        <v>4</v>
      </c>
      <c r="C84" s="2"/>
      <c r="D84" s="2"/>
      <c r="E84" s="2"/>
    </row>
    <row r="85" customFormat="false" ht="15" hidden="false" customHeight="false" outlineLevel="0" collapsed="false">
      <c r="A85" s="5" t="s">
        <v>101</v>
      </c>
      <c r="B85" s="7" t="n">
        <v>4</v>
      </c>
      <c r="C85" s="2"/>
      <c r="D85" s="2"/>
      <c r="E85" s="2"/>
    </row>
    <row r="86" customFormat="false" ht="15" hidden="false" customHeight="false" outlineLevel="0" collapsed="false">
      <c r="A86" s="5" t="s">
        <v>102</v>
      </c>
      <c r="B86" s="7" t="n">
        <v>4</v>
      </c>
      <c r="C86" s="2"/>
      <c r="D86" s="2"/>
      <c r="E86" s="2"/>
    </row>
    <row r="87" customFormat="false" ht="15" hidden="false" customHeight="false" outlineLevel="0" collapsed="false">
      <c r="A87" s="5" t="s">
        <v>103</v>
      </c>
      <c r="B87" s="7" t="n">
        <v>4</v>
      </c>
      <c r="C87" s="2"/>
      <c r="D87" s="2"/>
      <c r="E87" s="2"/>
    </row>
    <row r="88" customFormat="false" ht="15" hidden="false" customHeight="false" outlineLevel="0" collapsed="false">
      <c r="A88" s="5" t="s">
        <v>104</v>
      </c>
      <c r="B88" s="7" t="n">
        <v>3</v>
      </c>
      <c r="C88" s="2"/>
      <c r="D88" s="2"/>
      <c r="E88" s="2"/>
    </row>
    <row r="89" customFormat="false" ht="15" hidden="false" customHeight="false" outlineLevel="0" collapsed="false">
      <c r="A89" s="5" t="s">
        <v>105</v>
      </c>
      <c r="B89" s="7" t="n">
        <v>3</v>
      </c>
      <c r="C89" s="2"/>
      <c r="D89" s="2"/>
      <c r="E89" s="2"/>
    </row>
    <row r="90" customFormat="false" ht="15" hidden="false" customHeight="false" outlineLevel="0" collapsed="false">
      <c r="A90" s="5" t="s">
        <v>106</v>
      </c>
      <c r="B90" s="7" t="n">
        <v>3</v>
      </c>
      <c r="C90" s="2"/>
      <c r="D90" s="2"/>
      <c r="E90" s="2"/>
    </row>
    <row r="91" customFormat="false" ht="15" hidden="false" customHeight="false" outlineLevel="0" collapsed="false">
      <c r="A91" s="5" t="s">
        <v>107</v>
      </c>
      <c r="B91" s="7" t="n">
        <v>3</v>
      </c>
      <c r="C91" s="2"/>
      <c r="D91" s="2"/>
      <c r="E91" s="2"/>
    </row>
    <row r="92" customFormat="false" ht="15" hidden="false" customHeight="false" outlineLevel="0" collapsed="false">
      <c r="A92" s="5" t="s">
        <v>108</v>
      </c>
      <c r="B92" s="7" t="n">
        <v>3</v>
      </c>
      <c r="C92" s="2"/>
      <c r="D92" s="2"/>
      <c r="E92" s="2"/>
    </row>
    <row r="93" customFormat="false" ht="15" hidden="false" customHeight="false" outlineLevel="0" collapsed="false">
      <c r="A93" s="5" t="s">
        <v>109</v>
      </c>
      <c r="B93" s="7" t="n">
        <v>3</v>
      </c>
      <c r="C93" s="2"/>
      <c r="D93" s="2"/>
      <c r="E93" s="2"/>
    </row>
    <row r="94" customFormat="false" ht="15" hidden="false" customHeight="false" outlineLevel="0" collapsed="false">
      <c r="A94" s="5" t="s">
        <v>110</v>
      </c>
      <c r="B94" s="7" t="n">
        <v>3</v>
      </c>
      <c r="C94" s="2"/>
      <c r="D94" s="2"/>
      <c r="E94" s="2"/>
    </row>
    <row r="95" customFormat="false" ht="15" hidden="false" customHeight="false" outlineLevel="0" collapsed="false">
      <c r="A95" s="5" t="s">
        <v>111</v>
      </c>
      <c r="B95" s="7" t="n">
        <v>3</v>
      </c>
      <c r="C95" s="2"/>
      <c r="D95" s="2"/>
      <c r="E95" s="2"/>
    </row>
    <row r="96" customFormat="false" ht="15" hidden="false" customHeight="false" outlineLevel="0" collapsed="false">
      <c r="A96" s="5" t="s">
        <v>112</v>
      </c>
      <c r="B96" s="7" t="n">
        <v>3</v>
      </c>
      <c r="C96" s="2"/>
      <c r="D96" s="2"/>
      <c r="E96" s="2"/>
    </row>
    <row r="97" customFormat="false" ht="15" hidden="false" customHeight="false" outlineLevel="0" collapsed="false">
      <c r="A97" s="5" t="s">
        <v>113</v>
      </c>
      <c r="B97" s="7" t="n">
        <v>3</v>
      </c>
      <c r="C97" s="2"/>
      <c r="D97" s="2"/>
      <c r="E97" s="2"/>
    </row>
    <row r="98" customFormat="false" ht="15" hidden="false" customHeight="false" outlineLevel="0" collapsed="false">
      <c r="A98" s="5" t="s">
        <v>114</v>
      </c>
      <c r="B98" s="7" t="n">
        <v>2</v>
      </c>
      <c r="C98" s="2"/>
      <c r="D98" s="2"/>
      <c r="E98" s="2"/>
    </row>
    <row r="99" customFormat="false" ht="15" hidden="false" customHeight="false" outlineLevel="0" collapsed="false">
      <c r="A99" s="5" t="s">
        <v>115</v>
      </c>
      <c r="B99" s="7" t="n">
        <v>2</v>
      </c>
      <c r="C99" s="2"/>
      <c r="D99" s="2"/>
      <c r="E99" s="2"/>
    </row>
    <row r="100" customFormat="false" ht="15" hidden="false" customHeight="false" outlineLevel="0" collapsed="false">
      <c r="A100" s="5" t="s">
        <v>116</v>
      </c>
      <c r="B100" s="7" t="n">
        <v>2</v>
      </c>
      <c r="C100" s="2"/>
      <c r="D100" s="2"/>
      <c r="E100" s="2"/>
    </row>
    <row r="101" customFormat="false" ht="15" hidden="false" customHeight="false" outlineLevel="0" collapsed="false">
      <c r="A101" s="5" t="s">
        <v>117</v>
      </c>
      <c r="B101" s="7" t="n">
        <v>2</v>
      </c>
      <c r="C101" s="2"/>
      <c r="D101" s="2"/>
      <c r="E101" s="2"/>
    </row>
    <row r="102" customFormat="false" ht="15" hidden="false" customHeight="false" outlineLevel="0" collapsed="false">
      <c r="A102" s="5" t="s">
        <v>118</v>
      </c>
      <c r="B102" s="7" t="n">
        <v>2</v>
      </c>
      <c r="C102" s="2"/>
      <c r="D102" s="2"/>
      <c r="E102" s="2"/>
    </row>
    <row r="103" customFormat="false" ht="15" hidden="false" customHeight="false" outlineLevel="0" collapsed="false">
      <c r="A103" s="5" t="s">
        <v>119</v>
      </c>
      <c r="B103" s="7" t="n">
        <v>2</v>
      </c>
      <c r="C103" s="2"/>
      <c r="D103" s="2"/>
      <c r="E103" s="2"/>
    </row>
    <row r="104" customFormat="false" ht="15" hidden="false" customHeight="false" outlineLevel="0" collapsed="false">
      <c r="A104" s="5" t="s">
        <v>120</v>
      </c>
      <c r="B104" s="7" t="n">
        <v>2</v>
      </c>
      <c r="C104" s="2"/>
      <c r="D104" s="2"/>
      <c r="E104" s="2"/>
    </row>
    <row r="105" customFormat="false" ht="15" hidden="false" customHeight="false" outlineLevel="0" collapsed="false">
      <c r="A105" s="5" t="s">
        <v>121</v>
      </c>
      <c r="B105" s="7" t="n">
        <v>2</v>
      </c>
      <c r="C105" s="2"/>
      <c r="D105" s="2"/>
      <c r="E105" s="2"/>
    </row>
    <row r="106" customFormat="false" ht="15" hidden="false" customHeight="false" outlineLevel="0" collapsed="false">
      <c r="A106" s="5" t="s">
        <v>122</v>
      </c>
      <c r="B106" s="7" t="n">
        <v>2</v>
      </c>
      <c r="C106" s="2"/>
      <c r="D106" s="2"/>
      <c r="E106" s="2"/>
    </row>
    <row r="107" customFormat="false" ht="15" hidden="false" customHeight="false" outlineLevel="0" collapsed="false">
      <c r="A107" s="5" t="s">
        <v>123</v>
      </c>
      <c r="B107" s="7" t="n">
        <v>2</v>
      </c>
      <c r="C107" s="2"/>
      <c r="D107" s="2"/>
      <c r="E107" s="2"/>
    </row>
    <row r="108" customFormat="false" ht="15" hidden="false" customHeight="false" outlineLevel="0" collapsed="false">
      <c r="A108" s="5" t="s">
        <v>124</v>
      </c>
      <c r="B108" s="7" t="n">
        <v>2</v>
      </c>
      <c r="C108" s="2"/>
      <c r="D108" s="2"/>
      <c r="E108" s="2"/>
    </row>
    <row r="109" customFormat="false" ht="15" hidden="false" customHeight="false" outlineLevel="0" collapsed="false">
      <c r="A109" s="5" t="s">
        <v>125</v>
      </c>
      <c r="B109" s="7" t="n">
        <v>2</v>
      </c>
      <c r="C109" s="2"/>
      <c r="D109" s="2"/>
      <c r="E109" s="2"/>
    </row>
    <row r="110" customFormat="false" ht="15" hidden="false" customHeight="false" outlineLevel="0" collapsed="false">
      <c r="A110" s="5" t="s">
        <v>126</v>
      </c>
      <c r="B110" s="7" t="n">
        <v>1</v>
      </c>
      <c r="C110" s="2"/>
      <c r="D110" s="2"/>
      <c r="E110" s="2"/>
    </row>
    <row r="111" customFormat="false" ht="15" hidden="false" customHeight="false" outlineLevel="0" collapsed="false">
      <c r="A111" s="5" t="s">
        <v>127</v>
      </c>
      <c r="B111" s="7" t="n">
        <v>1</v>
      </c>
      <c r="C111" s="2"/>
      <c r="D111" s="2"/>
      <c r="E111" s="2"/>
    </row>
    <row r="112" customFormat="false" ht="15" hidden="false" customHeight="false" outlineLevel="0" collapsed="false">
      <c r="A112" s="5" t="s">
        <v>128</v>
      </c>
      <c r="B112" s="7" t="n">
        <v>1</v>
      </c>
      <c r="C112" s="2"/>
      <c r="D112" s="2"/>
      <c r="E112" s="2"/>
    </row>
    <row r="113" customFormat="false" ht="15" hidden="false" customHeight="false" outlineLevel="0" collapsed="false">
      <c r="A113" s="5" t="s">
        <v>129</v>
      </c>
      <c r="B113" s="7" t="n">
        <v>1</v>
      </c>
      <c r="C113" s="2"/>
      <c r="D113" s="2"/>
      <c r="E113" s="2"/>
    </row>
    <row r="114" customFormat="false" ht="15" hidden="false" customHeight="false" outlineLevel="0" collapsed="false">
      <c r="A114" s="5" t="s">
        <v>130</v>
      </c>
      <c r="B114" s="7" t="n">
        <v>1</v>
      </c>
      <c r="C114" s="2"/>
      <c r="D114" s="2"/>
      <c r="E114" s="2"/>
    </row>
    <row r="115" customFormat="false" ht="15" hidden="false" customHeight="false" outlineLevel="0" collapsed="false">
      <c r="A115" s="5" t="s">
        <v>131</v>
      </c>
      <c r="B115" s="7" t="n">
        <v>1</v>
      </c>
      <c r="C115" s="2"/>
      <c r="D115" s="2"/>
      <c r="E115" s="2"/>
    </row>
    <row r="116" customFormat="false" ht="15" hidden="false" customHeight="false" outlineLevel="0" collapsed="false">
      <c r="A116" s="5" t="s">
        <v>132</v>
      </c>
      <c r="B116" s="7" t="n">
        <v>1</v>
      </c>
      <c r="C116" s="2"/>
      <c r="D116" s="2"/>
      <c r="E116" s="2"/>
    </row>
    <row r="117" customFormat="false" ht="15" hidden="false" customHeight="false" outlineLevel="0" collapsed="false">
      <c r="A117" s="5" t="s">
        <v>133</v>
      </c>
      <c r="B117" s="7" t="n">
        <v>1</v>
      </c>
      <c r="C117" s="2"/>
      <c r="D117" s="2"/>
      <c r="E117" s="2"/>
    </row>
    <row r="118" customFormat="false" ht="15" hidden="false" customHeight="false" outlineLevel="0" collapsed="false">
      <c r="A118" s="5" t="s">
        <v>134</v>
      </c>
      <c r="B118" s="7" t="n">
        <v>1</v>
      </c>
      <c r="C118" s="2"/>
      <c r="D118" s="2"/>
      <c r="E118" s="2"/>
    </row>
    <row r="119" customFormat="false" ht="15" hidden="false" customHeight="false" outlineLevel="0" collapsed="false">
      <c r="A119" s="5" t="s">
        <v>135</v>
      </c>
      <c r="B119" s="7" t="n">
        <v>1</v>
      </c>
      <c r="C119" s="2"/>
      <c r="D119" s="2"/>
      <c r="E119" s="2"/>
    </row>
    <row r="120" customFormat="false" ht="15" hidden="false" customHeight="false" outlineLevel="0" collapsed="false">
      <c r="A120" s="5" t="s">
        <v>136</v>
      </c>
      <c r="B120" s="7" t="n">
        <v>1</v>
      </c>
      <c r="C120" s="2"/>
      <c r="D120" s="2"/>
      <c r="E120" s="2"/>
    </row>
    <row r="121" customFormat="false" ht="15" hidden="false" customHeight="false" outlineLevel="0" collapsed="false">
      <c r="A121" s="5" t="s">
        <v>137</v>
      </c>
      <c r="B121" s="7" t="n">
        <v>1</v>
      </c>
      <c r="C121" s="2"/>
      <c r="D121" s="2"/>
      <c r="E121" s="2"/>
    </row>
    <row r="122" customFormat="false" ht="15" hidden="false" customHeight="false" outlineLevel="0" collapsed="false">
      <c r="A122" s="5" t="s">
        <v>138</v>
      </c>
      <c r="B122" s="7" t="n">
        <v>1</v>
      </c>
      <c r="C122" s="2"/>
      <c r="D122" s="2"/>
      <c r="E122" s="2"/>
    </row>
    <row r="123" customFormat="false" ht="15" hidden="false" customHeight="false" outlineLevel="0" collapsed="false">
      <c r="A123" s="5" t="s">
        <v>139</v>
      </c>
      <c r="B123" s="7" t="n">
        <v>1</v>
      </c>
      <c r="C123" s="2"/>
      <c r="D123" s="2"/>
      <c r="E123" s="2"/>
    </row>
    <row r="124" customFormat="false" ht="15" hidden="false" customHeight="false" outlineLevel="0" collapsed="false">
      <c r="A124" s="5" t="s">
        <v>140</v>
      </c>
      <c r="B124" s="7" t="n">
        <v>1</v>
      </c>
      <c r="C124" s="2"/>
      <c r="D124" s="2"/>
      <c r="E124" s="2"/>
    </row>
    <row r="125" customFormat="false" ht="15" hidden="false" customHeight="false" outlineLevel="0" collapsed="false">
      <c r="A125" s="5" t="s">
        <v>141</v>
      </c>
      <c r="B125" s="7" t="n">
        <v>1</v>
      </c>
      <c r="C125" s="2"/>
      <c r="D125" s="2"/>
      <c r="E125" s="2"/>
    </row>
    <row r="126" customFormat="false" ht="15" hidden="false" customHeight="false" outlineLevel="0" collapsed="false">
      <c r="A126" s="5" t="s">
        <v>142</v>
      </c>
      <c r="B126" s="7" t="n">
        <v>1</v>
      </c>
      <c r="C126" s="2"/>
      <c r="D126" s="2"/>
      <c r="E126" s="2"/>
    </row>
    <row r="127" customFormat="false" ht="15" hidden="false" customHeight="false" outlineLevel="0" collapsed="false">
      <c r="A127" s="5" t="s">
        <v>143</v>
      </c>
      <c r="B127" s="7" t="n">
        <v>0</v>
      </c>
      <c r="C127" s="2"/>
      <c r="D127" s="2"/>
      <c r="E127" s="2"/>
    </row>
    <row r="128" customFormat="false" ht="15" hidden="false" customHeight="false" outlineLevel="0" collapsed="false">
      <c r="A128" s="5" t="s">
        <v>144</v>
      </c>
      <c r="B128" s="7" t="n">
        <v>0</v>
      </c>
      <c r="C128" s="2"/>
      <c r="D128" s="2"/>
      <c r="E128" s="2"/>
    </row>
    <row r="129" customFormat="false" ht="15" hidden="false" customHeight="false" outlineLevel="0" collapsed="false">
      <c r="A129" s="5" t="s">
        <v>145</v>
      </c>
      <c r="B129" s="7" t="n">
        <v>0</v>
      </c>
      <c r="C129" s="2"/>
      <c r="D129" s="2"/>
      <c r="E129" s="2"/>
    </row>
    <row r="130" customFormat="false" ht="15" hidden="false" customHeight="false" outlineLevel="0" collapsed="false">
      <c r="A130" s="5" t="s">
        <v>146</v>
      </c>
      <c r="B130" s="7" t="n">
        <v>0</v>
      </c>
      <c r="C130" s="2"/>
      <c r="D130" s="2"/>
      <c r="E130" s="2"/>
    </row>
    <row r="131" customFormat="false" ht="15" hidden="false" customHeight="false" outlineLevel="0" collapsed="false">
      <c r="A131" s="5" t="s">
        <v>147</v>
      </c>
      <c r="B131" s="7" t="n">
        <v>0</v>
      </c>
      <c r="C131" s="2"/>
      <c r="D131" s="2"/>
      <c r="E131" s="2"/>
    </row>
    <row r="132" customFormat="false" ht="15" hidden="false" customHeight="false" outlineLevel="0" collapsed="false">
      <c r="A132" s="5" t="s">
        <v>148</v>
      </c>
      <c r="B132" s="7" t="n">
        <v>0</v>
      </c>
      <c r="C132" s="2"/>
      <c r="D132" s="2"/>
      <c r="E132" s="2"/>
    </row>
    <row r="133" customFormat="false" ht="15" hidden="false" customHeight="false" outlineLevel="0" collapsed="false">
      <c r="A133" s="5" t="s">
        <v>149</v>
      </c>
      <c r="B133" s="7" t="n">
        <v>0</v>
      </c>
      <c r="C133" s="2"/>
      <c r="D133" s="2"/>
      <c r="E133" s="2"/>
    </row>
    <row r="134" customFormat="false" ht="15" hidden="false" customHeight="false" outlineLevel="0" collapsed="false">
      <c r="A134" s="5" t="s">
        <v>150</v>
      </c>
      <c r="B134" s="7" t="n">
        <v>0</v>
      </c>
      <c r="C134" s="2"/>
      <c r="D134" s="2"/>
      <c r="E134" s="2"/>
    </row>
    <row r="135" customFormat="false" ht="15" hidden="false" customHeight="false" outlineLevel="0" collapsed="false">
      <c r="A135" s="5" t="s">
        <v>151</v>
      </c>
      <c r="B135" s="7" t="n">
        <v>0</v>
      </c>
      <c r="C135" s="2"/>
      <c r="D135" s="2"/>
      <c r="E135" s="2"/>
    </row>
    <row r="136" customFormat="false" ht="15" hidden="false" customHeight="false" outlineLevel="0" collapsed="false">
      <c r="A136" s="5" t="s">
        <v>152</v>
      </c>
      <c r="B136" s="7" t="n">
        <v>0</v>
      </c>
      <c r="C136" s="2"/>
      <c r="D136" s="2"/>
      <c r="E136" s="2"/>
    </row>
    <row r="137" customFormat="false" ht="15" hidden="false" customHeight="false" outlineLevel="0" collapsed="false">
      <c r="A137" s="5" t="s">
        <v>153</v>
      </c>
      <c r="B137" s="7" t="n">
        <v>0</v>
      </c>
      <c r="C137" s="2"/>
      <c r="D137" s="2"/>
      <c r="E137" s="2"/>
    </row>
    <row r="138" customFormat="false" ht="15" hidden="false" customHeight="false" outlineLevel="0" collapsed="false">
      <c r="A138" s="5" t="s">
        <v>154</v>
      </c>
      <c r="B138" s="7" t="n">
        <v>0</v>
      </c>
      <c r="C138" s="2"/>
      <c r="D138" s="2"/>
      <c r="E138" s="2"/>
    </row>
    <row r="139" customFormat="false" ht="15" hidden="false" customHeight="false" outlineLevel="0" collapsed="false">
      <c r="A139" s="5" t="s">
        <v>155</v>
      </c>
      <c r="B139" s="7" t="n">
        <v>0</v>
      </c>
      <c r="C139" s="2"/>
      <c r="D139" s="2"/>
      <c r="E139" s="2"/>
    </row>
    <row r="140" customFormat="false" ht="15" hidden="false" customHeight="false" outlineLevel="0" collapsed="false">
      <c r="A140" s="5" t="s">
        <v>156</v>
      </c>
      <c r="B140" s="7" t="n">
        <v>0</v>
      </c>
      <c r="C140" s="2"/>
      <c r="D140" s="2"/>
      <c r="E140" s="2"/>
    </row>
    <row r="141" customFormat="false" ht="15" hidden="false" customHeight="false" outlineLevel="0" collapsed="false">
      <c r="A141" s="5" t="s">
        <v>157</v>
      </c>
      <c r="B141" s="7" t="n">
        <v>0</v>
      </c>
      <c r="C141" s="2"/>
      <c r="D141" s="2"/>
      <c r="E141" s="2"/>
    </row>
    <row r="142" customFormat="false" ht="15" hidden="false" customHeight="false" outlineLevel="0" collapsed="false">
      <c r="A142" s="5" t="s">
        <v>158</v>
      </c>
      <c r="B142" s="7" t="n">
        <v>0</v>
      </c>
      <c r="C142" s="2"/>
      <c r="D142" s="2"/>
      <c r="E142" s="2"/>
    </row>
    <row r="143" customFormat="false" ht="15" hidden="false" customHeight="false" outlineLevel="0" collapsed="false">
      <c r="A143" s="5" t="s">
        <v>159</v>
      </c>
      <c r="B143" s="7" t="n">
        <v>0</v>
      </c>
      <c r="C143" s="2"/>
      <c r="D143" s="2"/>
      <c r="E143" s="2"/>
    </row>
    <row r="144" customFormat="false" ht="15" hidden="false" customHeight="false" outlineLevel="0" collapsed="false">
      <c r="A144" s="5" t="s">
        <v>160</v>
      </c>
      <c r="B144" s="7" t="n">
        <v>0</v>
      </c>
      <c r="C144" s="2"/>
      <c r="D144" s="2"/>
      <c r="E144" s="2"/>
    </row>
    <row r="145" customFormat="false" ht="15" hidden="false" customHeight="false" outlineLevel="0" collapsed="false">
      <c r="A145" s="5" t="s">
        <v>161</v>
      </c>
      <c r="B145" s="7" t="n">
        <v>0</v>
      </c>
      <c r="C145" s="2"/>
      <c r="D145" s="2"/>
      <c r="E145" s="2"/>
    </row>
    <row r="146" customFormat="false" ht="15" hidden="false" customHeight="false" outlineLevel="0" collapsed="false">
      <c r="A146" s="5" t="s">
        <v>162</v>
      </c>
      <c r="B146" s="7" t="n">
        <v>0</v>
      </c>
      <c r="C146" s="2"/>
      <c r="D146" s="2"/>
      <c r="E146" s="2"/>
    </row>
    <row r="147" customFormat="false" ht="15" hidden="false" customHeight="false" outlineLevel="0" collapsed="false">
      <c r="A147" s="5" t="s">
        <v>163</v>
      </c>
      <c r="B147" s="7" t="n">
        <v>0</v>
      </c>
      <c r="C147" s="2"/>
      <c r="D147" s="2"/>
      <c r="E147" s="2"/>
    </row>
    <row r="148" customFormat="false" ht="15" hidden="false" customHeight="false" outlineLevel="0" collapsed="false">
      <c r="A148" s="5" t="s">
        <v>164</v>
      </c>
      <c r="B148" s="7" t="n">
        <v>0</v>
      </c>
      <c r="C148" s="2"/>
      <c r="D148" s="2"/>
      <c r="E148" s="2"/>
    </row>
    <row r="149" customFormat="false" ht="15" hidden="false" customHeight="false" outlineLevel="0" collapsed="false">
      <c r="A149" s="5" t="s">
        <v>165</v>
      </c>
      <c r="B149" s="7" t="n">
        <v>0</v>
      </c>
      <c r="C149" s="2"/>
      <c r="D149" s="2"/>
      <c r="E149" s="2"/>
    </row>
    <row r="150" customFormat="false" ht="15" hidden="false" customHeight="false" outlineLevel="0" collapsed="false">
      <c r="A150" s="5" t="s">
        <v>166</v>
      </c>
      <c r="B150" s="7" t="n">
        <v>0</v>
      </c>
      <c r="C150" s="2"/>
      <c r="D150" s="2"/>
      <c r="E150" s="2"/>
    </row>
    <row r="151" customFormat="false" ht="15" hidden="false" customHeight="false" outlineLevel="0" collapsed="false">
      <c r="A151" s="5" t="s">
        <v>167</v>
      </c>
      <c r="B151" s="7" t="n">
        <v>0</v>
      </c>
      <c r="C151" s="2"/>
      <c r="D151" s="2"/>
      <c r="E151" s="2"/>
    </row>
    <row r="152" customFormat="false" ht="15" hidden="false" customHeight="false" outlineLevel="0" collapsed="false">
      <c r="A152" s="5" t="s">
        <v>168</v>
      </c>
      <c r="B152" s="7" t="n">
        <v>0</v>
      </c>
      <c r="C152" s="2"/>
      <c r="D152" s="2"/>
      <c r="E152" s="2"/>
    </row>
    <row r="153" customFormat="false" ht="15" hidden="false" customHeight="false" outlineLevel="0" collapsed="false">
      <c r="A153" s="5" t="s">
        <v>169</v>
      </c>
      <c r="B153" s="7" t="n">
        <v>0</v>
      </c>
      <c r="C153" s="2"/>
      <c r="D153" s="2"/>
      <c r="E153" s="2"/>
    </row>
    <row r="154" customFormat="false" ht="15" hidden="false" customHeight="false" outlineLevel="0" collapsed="false">
      <c r="A154" s="5" t="s">
        <v>170</v>
      </c>
      <c r="B154" s="7" t="n">
        <v>0</v>
      </c>
      <c r="C154" s="2"/>
      <c r="D154" s="2"/>
      <c r="E154" s="2"/>
    </row>
    <row r="155" customFormat="false" ht="15" hidden="false" customHeight="false" outlineLevel="0" collapsed="false">
      <c r="A155" s="5" t="s">
        <v>171</v>
      </c>
      <c r="B155" s="7" t="n">
        <v>0</v>
      </c>
      <c r="C155" s="2"/>
      <c r="D155" s="2"/>
      <c r="E155" s="2"/>
    </row>
    <row r="156" customFormat="false" ht="15" hidden="false" customHeight="false" outlineLevel="0" collapsed="false">
      <c r="A156" s="5" t="s">
        <v>172</v>
      </c>
      <c r="B156" s="7" t="n">
        <v>0</v>
      </c>
      <c r="C156" s="2"/>
      <c r="D156" s="2"/>
      <c r="E156" s="2"/>
    </row>
    <row r="157" customFormat="false" ht="15" hidden="false" customHeight="false" outlineLevel="0" collapsed="false">
      <c r="A157" s="5" t="s">
        <v>173</v>
      </c>
      <c r="B157" s="7" t="n">
        <v>0</v>
      </c>
      <c r="C157" s="2"/>
      <c r="D157" s="2"/>
      <c r="E157" s="2"/>
    </row>
    <row r="158" customFormat="false" ht="15" hidden="false" customHeight="false" outlineLevel="0" collapsed="false">
      <c r="A158" s="5" t="s">
        <v>174</v>
      </c>
      <c r="B158" s="7" t="n">
        <v>0</v>
      </c>
      <c r="C158" s="2"/>
      <c r="D158" s="2"/>
      <c r="E158" s="2"/>
    </row>
    <row r="159" customFormat="false" ht="15" hidden="false" customHeight="false" outlineLevel="0" collapsed="false">
      <c r="A159" s="5" t="s">
        <v>175</v>
      </c>
      <c r="B159" s="7" t="n">
        <v>0</v>
      </c>
      <c r="C159" s="2"/>
      <c r="D159" s="2"/>
      <c r="E159" s="2"/>
    </row>
    <row r="160" customFormat="false" ht="15" hidden="false" customHeight="false" outlineLevel="0" collapsed="false">
      <c r="A160" s="5" t="s">
        <v>176</v>
      </c>
      <c r="B160" s="7" t="n">
        <v>0</v>
      </c>
      <c r="C160" s="2"/>
      <c r="D160" s="2"/>
      <c r="E160" s="2"/>
    </row>
    <row r="161" customFormat="false" ht="15" hidden="false" customHeight="false" outlineLevel="0" collapsed="false">
      <c r="A161" s="5" t="s">
        <v>177</v>
      </c>
      <c r="B161" s="7" t="n">
        <v>0</v>
      </c>
      <c r="C161" s="2"/>
      <c r="D161" s="2"/>
      <c r="E161" s="2"/>
    </row>
    <row r="162" customFormat="false" ht="15" hidden="false" customHeight="false" outlineLevel="0" collapsed="false">
      <c r="A162" s="5" t="s">
        <v>178</v>
      </c>
      <c r="B162" s="7" t="n">
        <v>0</v>
      </c>
      <c r="C162" s="2"/>
      <c r="D162" s="2"/>
      <c r="E162" s="2"/>
    </row>
    <row r="163" customFormat="false" ht="15" hidden="false" customHeight="false" outlineLevel="0" collapsed="false">
      <c r="A163" s="5" t="s">
        <v>179</v>
      </c>
      <c r="B163" s="7" t="n">
        <v>0</v>
      </c>
      <c r="C163" s="2"/>
      <c r="D163" s="2"/>
      <c r="E163" s="2"/>
    </row>
    <row r="164" customFormat="false" ht="15" hidden="false" customHeight="false" outlineLevel="0" collapsed="false">
      <c r="A164" s="5" t="s">
        <v>180</v>
      </c>
      <c r="B164" s="7" t="n">
        <v>0</v>
      </c>
      <c r="C164" s="2"/>
      <c r="D164" s="2"/>
      <c r="E164" s="2"/>
    </row>
    <row r="165" customFormat="false" ht="15" hidden="false" customHeight="false" outlineLevel="0" collapsed="false">
      <c r="A165" s="5" t="s">
        <v>181</v>
      </c>
      <c r="B165" s="7" t="n">
        <v>0</v>
      </c>
      <c r="C165" s="2"/>
      <c r="D165" s="2"/>
      <c r="E165" s="2"/>
    </row>
    <row r="166" customFormat="false" ht="15" hidden="false" customHeight="false" outlineLevel="0" collapsed="false">
      <c r="A166" s="5" t="s">
        <v>182</v>
      </c>
      <c r="B166" s="7" t="n">
        <v>0</v>
      </c>
      <c r="C166" s="2"/>
      <c r="D166" s="2"/>
      <c r="E166" s="2"/>
    </row>
    <row r="167" customFormat="false" ht="15" hidden="false" customHeight="false" outlineLevel="0" collapsed="false">
      <c r="A167" s="5" t="s">
        <v>183</v>
      </c>
      <c r="B167" s="7" t="n">
        <v>0</v>
      </c>
      <c r="C167" s="2"/>
      <c r="D167" s="2"/>
      <c r="E167" s="2"/>
    </row>
    <row r="168" customFormat="false" ht="15" hidden="false" customHeight="false" outlineLevel="0" collapsed="false">
      <c r="A168" s="5" t="s">
        <v>184</v>
      </c>
      <c r="B168" s="7" t="n">
        <v>0</v>
      </c>
      <c r="C168" s="2"/>
      <c r="D168" s="2"/>
      <c r="E168" s="2"/>
    </row>
    <row r="169" customFormat="false" ht="15" hidden="false" customHeight="false" outlineLevel="0" collapsed="false">
      <c r="A169" s="5" t="s">
        <v>185</v>
      </c>
      <c r="B169" s="7" t="n">
        <v>0</v>
      </c>
      <c r="C169" s="2"/>
      <c r="D169" s="2"/>
      <c r="E169" s="2"/>
    </row>
    <row r="170" customFormat="false" ht="15" hidden="false" customHeight="false" outlineLevel="0" collapsed="false">
      <c r="A170" s="5" t="s">
        <v>186</v>
      </c>
      <c r="B170" s="7" t="n">
        <v>0</v>
      </c>
      <c r="C170" s="2"/>
      <c r="D170" s="2"/>
      <c r="E170" s="2"/>
    </row>
    <row r="171" customFormat="false" ht="15" hidden="false" customHeight="false" outlineLevel="0" collapsed="false">
      <c r="A171" s="5" t="s">
        <v>187</v>
      </c>
      <c r="B171" s="7" t="n">
        <v>0</v>
      </c>
      <c r="C171" s="2"/>
      <c r="D171" s="2"/>
      <c r="E171" s="2"/>
    </row>
    <row r="172" customFormat="false" ht="15" hidden="false" customHeight="false" outlineLevel="0" collapsed="false">
      <c r="A172" s="5" t="s">
        <v>188</v>
      </c>
      <c r="B172" s="7" t="n">
        <v>0</v>
      </c>
      <c r="C172" s="2"/>
      <c r="D172" s="2"/>
      <c r="E172" s="2"/>
    </row>
  </sheetData>
  <mergeCells count="6">
    <mergeCell ref="D11:E11"/>
    <mergeCell ref="D12:E12"/>
    <mergeCell ref="D13:E13"/>
    <mergeCell ref="D14:E14"/>
    <mergeCell ref="D15:E15"/>
    <mergeCell ref="D16:E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2" style="0" width="14"/>
    <col collapsed="false" customWidth="true" hidden="false" outlineLevel="0" max="5" min="4" style="0" width="18"/>
    <col collapsed="false" customWidth="true" hidden="false" outlineLevel="0" max="6" min="6" style="0" width="3"/>
    <col collapsed="false" customWidth="true" hidden="false" outlineLevel="0" max="7" min="7" style="0" width="52"/>
    <col collapsed="false" customWidth="true" hidden="false" outlineLevel="0" max="8" min="8" style="0" width="14"/>
  </cols>
  <sheetData>
    <row r="1" customFormat="false" ht="45" hidden="false" customHeight="true" outlineLevel="0" collapsed="false">
      <c r="A1" s="13" t="s">
        <v>0</v>
      </c>
      <c r="B1" s="13" t="s">
        <v>189</v>
      </c>
      <c r="C1" s="13" t="s">
        <v>1</v>
      </c>
      <c r="D1" s="13" t="s">
        <v>190</v>
      </c>
      <c r="E1" s="13" t="s">
        <v>191</v>
      </c>
      <c r="F1" s="2"/>
      <c r="G1" s="1" t="s">
        <v>2</v>
      </c>
      <c r="H1" s="1" t="s">
        <v>3</v>
      </c>
    </row>
    <row r="2" customFormat="false" ht="15" hidden="false" customHeight="false" outlineLevel="0" collapsed="false">
      <c r="A2" s="3" t="s">
        <v>4</v>
      </c>
      <c r="B2" s="4" t="n">
        <f aca="false">'Composição CIRAE'!B13</f>
        <v>260</v>
      </c>
      <c r="C2" s="4" t="n">
        <f aca="false">'Composição CIRAE'!C13</f>
        <v>79</v>
      </c>
      <c r="D2" s="14" t="n">
        <f aca="false">C2/B2</f>
        <v>0.303846153846154</v>
      </c>
      <c r="E2" s="14"/>
      <c r="F2" s="2"/>
      <c r="G2" s="15" t="s">
        <v>192</v>
      </c>
      <c r="H2" s="16" t="n">
        <v>20</v>
      </c>
    </row>
    <row r="3" customFormat="false" ht="26.85" hidden="false" customHeight="false" outlineLevel="0" collapsed="false">
      <c r="A3" s="5" t="s">
        <v>132</v>
      </c>
      <c r="B3" s="7" t="n">
        <v>2</v>
      </c>
      <c r="C3" s="7" t="n">
        <v>1</v>
      </c>
      <c r="D3" s="17" t="n">
        <f aca="false">C3/B3</f>
        <v>0.5</v>
      </c>
      <c r="E3" s="17" t="str">
        <f aca="false">IF(B3&gt;=$H$2,D3,"")</f>
        <v/>
      </c>
      <c r="F3" s="2"/>
      <c r="G3" s="15" t="s">
        <v>193</v>
      </c>
      <c r="H3" s="10" t="n">
        <f aca="false">SUM(C3:C169)/SUM(B3:B169)</f>
        <v>0.04345750960838</v>
      </c>
    </row>
    <row r="4" customFormat="false" ht="15" hidden="false" customHeight="false" outlineLevel="0" collapsed="false">
      <c r="A4" s="5" t="s">
        <v>31</v>
      </c>
      <c r="B4" s="7" t="n">
        <v>75</v>
      </c>
      <c r="C4" s="7" t="n">
        <v>30</v>
      </c>
      <c r="D4" s="17" t="n">
        <f aca="false">C4/B4</f>
        <v>0.4</v>
      </c>
      <c r="E4" s="17" t="n">
        <f aca="false">IF(B4&gt;=$H$2,D4,"")</f>
        <v>0.4</v>
      </c>
      <c r="F4" s="2"/>
      <c r="G4" s="15" t="s">
        <v>194</v>
      </c>
      <c r="H4" s="10" t="n">
        <f aca="false">AVERAGE(E3:E169)</f>
        <v>0.0551469374329551</v>
      </c>
    </row>
    <row r="5" customFormat="false" ht="26.85" hidden="false" customHeight="false" outlineLevel="0" collapsed="false">
      <c r="A5" s="5" t="s">
        <v>45</v>
      </c>
      <c r="B5" s="7" t="n">
        <v>54</v>
      </c>
      <c r="C5" s="7" t="n">
        <v>19</v>
      </c>
      <c r="D5" s="17" t="n">
        <f aca="false">C5/B5</f>
        <v>0.351851851851852</v>
      </c>
      <c r="E5" s="17" t="n">
        <f aca="false">IF(B5&gt;=$H$2,D5,"")</f>
        <v>0.351851851851852</v>
      </c>
      <c r="F5" s="2"/>
      <c r="G5" s="15" t="s">
        <v>195</v>
      </c>
      <c r="H5" s="10" t="n">
        <f aca="false">MEDIAN(E3:E169)</f>
        <v>0.0373831775700935</v>
      </c>
    </row>
    <row r="6" customFormat="false" ht="15" hidden="false" customHeight="false" outlineLevel="0" collapsed="false">
      <c r="A6" s="5" t="s">
        <v>106</v>
      </c>
      <c r="B6" s="7" t="n">
        <v>10</v>
      </c>
      <c r="C6" s="7" t="n">
        <v>3</v>
      </c>
      <c r="D6" s="17" t="n">
        <f aca="false">C6/B6</f>
        <v>0.3</v>
      </c>
      <c r="E6" s="17" t="str">
        <f aca="false">IF(B6&gt;=$H$2,D6,"")</f>
        <v/>
      </c>
      <c r="F6" s="2"/>
      <c r="G6" s="15" t="s">
        <v>196</v>
      </c>
      <c r="H6" s="10" t="n">
        <f aca="false">D2</f>
        <v>0.303846153846154</v>
      </c>
    </row>
    <row r="7" customFormat="false" ht="15" hidden="false" customHeight="false" outlineLevel="0" collapsed="false">
      <c r="A7" s="5" t="s">
        <v>67</v>
      </c>
      <c r="B7" s="7" t="n">
        <v>38</v>
      </c>
      <c r="C7" s="7" t="n">
        <v>11</v>
      </c>
      <c r="D7" s="17" t="n">
        <f aca="false">C7/B7</f>
        <v>0.289473684210526</v>
      </c>
      <c r="E7" s="17" t="n">
        <f aca="false">IF(B7&gt;=$H$2,D7,"")</f>
        <v>0.289473684210526</v>
      </c>
      <c r="F7" s="2"/>
      <c r="G7" s="15" t="s">
        <v>197</v>
      </c>
      <c r="H7" s="9" t="n">
        <f aca="false">H6/H3</f>
        <v>6.9917985771454</v>
      </c>
    </row>
    <row r="8" customFormat="false" ht="15" hidden="false" customHeight="false" outlineLevel="0" collapsed="false">
      <c r="A8" s="5" t="s">
        <v>29</v>
      </c>
      <c r="B8" s="7" t="n">
        <v>121</v>
      </c>
      <c r="C8" s="7" t="n">
        <v>34</v>
      </c>
      <c r="D8" s="17" t="n">
        <f aca="false">C8/B8</f>
        <v>0.28099173553719</v>
      </c>
      <c r="E8" s="17" t="n">
        <f aca="false">IF(B8&gt;=$H$2,D8,"")</f>
        <v>0.28099173553719</v>
      </c>
      <c r="F8" s="2"/>
      <c r="G8" s="15" t="s">
        <v>13</v>
      </c>
      <c r="H8" s="9" t="n">
        <f aca="false">H6/H5</f>
        <v>8.12788461538462</v>
      </c>
    </row>
    <row r="9" customFormat="false" ht="15" hidden="false" customHeight="false" outlineLevel="0" collapsed="false">
      <c r="A9" s="5" t="s">
        <v>14</v>
      </c>
      <c r="B9" s="7" t="n">
        <v>234</v>
      </c>
      <c r="C9" s="7" t="n">
        <v>63</v>
      </c>
      <c r="D9" s="17" t="n">
        <f aca="false">C9/B9</f>
        <v>0.269230769230769</v>
      </c>
      <c r="E9" s="17" t="n">
        <f aca="false">IF(B9&gt;=$H$2,D9,"")</f>
        <v>0.269230769230769</v>
      </c>
      <c r="F9" s="2"/>
      <c r="G9" s="15" t="s">
        <v>198</v>
      </c>
      <c r="H9" s="8" t="n">
        <f aca="false">1+COUNTIF(E3:E169,"&gt;"&amp;D2)</f>
        <v>3</v>
      </c>
    </row>
    <row r="10" customFormat="false" ht="15" hidden="false" customHeight="false" outlineLevel="0" collapsed="false">
      <c r="A10" s="5" t="s">
        <v>83</v>
      </c>
      <c r="B10" s="7" t="n">
        <v>23</v>
      </c>
      <c r="C10" s="7" t="n">
        <v>6</v>
      </c>
      <c r="D10" s="17" t="n">
        <f aca="false">C10/B10</f>
        <v>0.260869565217391</v>
      </c>
      <c r="E10" s="17" t="n">
        <f aca="false">IF(B10&gt;=$H$2,D10,"")</f>
        <v>0.260869565217391</v>
      </c>
      <c r="F10" s="2"/>
      <c r="G10" s="15" t="s">
        <v>199</v>
      </c>
      <c r="H10" s="8" t="n">
        <f aca="false">COUNT(E3:E169)+1</f>
        <v>150</v>
      </c>
    </row>
    <row r="11" customFormat="false" ht="15" hidden="false" customHeight="false" outlineLevel="0" collapsed="false">
      <c r="A11" s="5" t="s">
        <v>50</v>
      </c>
      <c r="B11" s="7" t="n">
        <v>71</v>
      </c>
      <c r="C11" s="7" t="n">
        <v>16</v>
      </c>
      <c r="D11" s="17" t="n">
        <f aca="false">C11/B11</f>
        <v>0.225352112676056</v>
      </c>
      <c r="E11" s="17" t="n">
        <f aca="false">IF(B11&gt;=$H$2,D11,"")</f>
        <v>0.225352112676056</v>
      </c>
      <c r="F11" s="2"/>
      <c r="G11" s="2"/>
      <c r="H11" s="2"/>
    </row>
    <row r="12" customFormat="false" ht="15" hidden="false" customHeight="true" outlineLevel="0" collapsed="false">
      <c r="A12" s="5" t="s">
        <v>136</v>
      </c>
      <c r="B12" s="7" t="n">
        <v>5</v>
      </c>
      <c r="C12" s="7" t="n">
        <v>1</v>
      </c>
      <c r="D12" s="17" t="n">
        <f aca="false">C12/B12</f>
        <v>0.2</v>
      </c>
      <c r="E12" s="17" t="str">
        <f aca="false">IF(B12&gt;=$H$2,D12,"")</f>
        <v/>
      </c>
      <c r="F12" s="2"/>
      <c r="G12" s="11" t="s">
        <v>22</v>
      </c>
      <c r="H12" s="11"/>
    </row>
    <row r="13" customFormat="false" ht="48" hidden="false" customHeight="true" outlineLevel="0" collapsed="false">
      <c r="A13" s="5" t="s">
        <v>8</v>
      </c>
      <c r="B13" s="7" t="n">
        <v>491</v>
      </c>
      <c r="C13" s="7" t="n">
        <v>86</v>
      </c>
      <c r="D13" s="17" t="n">
        <f aca="false">C13/B13</f>
        <v>0.175152749490835</v>
      </c>
      <c r="E13" s="17" t="n">
        <f aca="false">IF(B13&gt;=$H$2,D13,"")</f>
        <v>0.175152749490835</v>
      </c>
      <c r="F13" s="2"/>
      <c r="G13" s="12" t="s">
        <v>24</v>
      </c>
      <c r="H13" s="12"/>
    </row>
    <row r="14" customFormat="false" ht="48" hidden="false" customHeight="true" outlineLevel="0" collapsed="false">
      <c r="A14" s="5" t="s">
        <v>96</v>
      </c>
      <c r="B14" s="7" t="n">
        <v>29</v>
      </c>
      <c r="C14" s="7" t="n">
        <v>5</v>
      </c>
      <c r="D14" s="17" t="n">
        <f aca="false">C14/B14</f>
        <v>0.172413793103448</v>
      </c>
      <c r="E14" s="17" t="n">
        <f aca="false">IF(B14&gt;=$H$2,D14,"")</f>
        <v>0.172413793103448</v>
      </c>
      <c r="F14" s="2"/>
      <c r="G14" s="12" t="s">
        <v>200</v>
      </c>
      <c r="H14" s="12"/>
    </row>
    <row r="15" customFormat="false" ht="48" hidden="false" customHeight="true" outlineLevel="0" collapsed="false">
      <c r="A15" s="5" t="s">
        <v>42</v>
      </c>
      <c r="B15" s="7" t="n">
        <v>141</v>
      </c>
      <c r="C15" s="7" t="n">
        <v>24</v>
      </c>
      <c r="D15" s="17" t="n">
        <f aca="false">C15/B15</f>
        <v>0.170212765957447</v>
      </c>
      <c r="E15" s="17" t="n">
        <f aca="false">IF(B15&gt;=$H$2,D15,"")</f>
        <v>0.170212765957447</v>
      </c>
      <c r="F15" s="2"/>
      <c r="G15" s="12" t="s">
        <v>201</v>
      </c>
      <c r="H15" s="12"/>
    </row>
    <row r="16" customFormat="false" ht="48" hidden="false" customHeight="true" outlineLevel="0" collapsed="false">
      <c r="A16" s="5" t="s">
        <v>65</v>
      </c>
      <c r="B16" s="7" t="n">
        <v>71</v>
      </c>
      <c r="C16" s="7" t="n">
        <v>11</v>
      </c>
      <c r="D16" s="17" t="n">
        <f aca="false">C16/B16</f>
        <v>0.154929577464789</v>
      </c>
      <c r="E16" s="17" t="n">
        <f aca="false">IF(B16&gt;=$H$2,D16,"")</f>
        <v>0.154929577464789</v>
      </c>
      <c r="F16" s="2"/>
      <c r="G16" s="12" t="s">
        <v>202</v>
      </c>
      <c r="H16" s="12"/>
    </row>
    <row r="17" customFormat="false" ht="48" hidden="false" customHeight="true" outlineLevel="0" collapsed="false">
      <c r="A17" s="5" t="s">
        <v>107</v>
      </c>
      <c r="B17" s="7" t="n">
        <v>21</v>
      </c>
      <c r="C17" s="7" t="n">
        <v>3</v>
      </c>
      <c r="D17" s="17" t="n">
        <f aca="false">C17/B17</f>
        <v>0.142857142857143</v>
      </c>
      <c r="E17" s="17" t="n">
        <f aca="false">IF(B17&gt;=$H$2,D17,"")</f>
        <v>0.142857142857143</v>
      </c>
      <c r="F17" s="2"/>
      <c r="G17" s="12" t="s">
        <v>203</v>
      </c>
      <c r="H17" s="12"/>
    </row>
    <row r="18" customFormat="false" ht="15" hidden="false" customHeight="false" outlineLevel="0" collapsed="false">
      <c r="A18" s="5" t="s">
        <v>12</v>
      </c>
      <c r="B18" s="7" t="n">
        <v>475</v>
      </c>
      <c r="C18" s="7" t="n">
        <v>65</v>
      </c>
      <c r="D18" s="17" t="n">
        <f aca="false">C18/B18</f>
        <v>0.136842105263158</v>
      </c>
      <c r="E18" s="17" t="n">
        <f aca="false">IF(B18&gt;=$H$2,D18,"")</f>
        <v>0.136842105263158</v>
      </c>
      <c r="F18" s="2"/>
      <c r="G18" s="2"/>
      <c r="H18" s="2"/>
    </row>
    <row r="19" customFormat="false" ht="15" hidden="false" customHeight="false" outlineLevel="0" collapsed="false">
      <c r="A19" s="5" t="s">
        <v>76</v>
      </c>
      <c r="B19" s="7" t="n">
        <v>59</v>
      </c>
      <c r="C19" s="7" t="n">
        <v>8</v>
      </c>
      <c r="D19" s="17" t="n">
        <f aca="false">C19/B19</f>
        <v>0.135593220338983</v>
      </c>
      <c r="E19" s="17" t="n">
        <f aca="false">IF(B19&gt;=$H$2,D19,"")</f>
        <v>0.135593220338983</v>
      </c>
      <c r="F19" s="2"/>
      <c r="G19" s="2"/>
      <c r="H19" s="2"/>
    </row>
    <row r="20" customFormat="false" ht="15" hidden="false" customHeight="false" outlineLevel="0" collapsed="false">
      <c r="A20" s="5" t="s">
        <v>20</v>
      </c>
      <c r="B20" s="7" t="n">
        <v>367</v>
      </c>
      <c r="C20" s="7" t="n">
        <v>49</v>
      </c>
      <c r="D20" s="17" t="n">
        <f aca="false">C20/B20</f>
        <v>0.133514986376022</v>
      </c>
      <c r="E20" s="17" t="n">
        <f aca="false">IF(B20&gt;=$H$2,D20,"")</f>
        <v>0.133514986376022</v>
      </c>
      <c r="F20" s="2"/>
      <c r="G20" s="2"/>
      <c r="H20" s="2"/>
    </row>
    <row r="21" customFormat="false" ht="15" hidden="false" customHeight="false" outlineLevel="0" collapsed="false">
      <c r="A21" s="5" t="s">
        <v>81</v>
      </c>
      <c r="B21" s="7" t="n">
        <v>54</v>
      </c>
      <c r="C21" s="7" t="n">
        <v>7</v>
      </c>
      <c r="D21" s="17" t="n">
        <f aca="false">C21/B21</f>
        <v>0.12962962962963</v>
      </c>
      <c r="E21" s="17" t="n">
        <f aca="false">IF(B21&gt;=$H$2,D21,"")</f>
        <v>0.12962962962963</v>
      </c>
      <c r="F21" s="2"/>
      <c r="G21" s="2"/>
      <c r="H21" s="2"/>
    </row>
    <row r="22" customFormat="false" ht="15" hidden="false" customHeight="false" outlineLevel="0" collapsed="false">
      <c r="A22" s="5" t="s">
        <v>134</v>
      </c>
      <c r="B22" s="7" t="n">
        <v>8</v>
      </c>
      <c r="C22" s="7" t="n">
        <v>1</v>
      </c>
      <c r="D22" s="17" t="n">
        <f aca="false">C22/B22</f>
        <v>0.125</v>
      </c>
      <c r="E22" s="17" t="str">
        <f aca="false">IF(B22&gt;=$H$2,D22,"")</f>
        <v/>
      </c>
      <c r="F22" s="2"/>
      <c r="G22" s="2"/>
      <c r="H22" s="2"/>
    </row>
    <row r="23" customFormat="false" ht="15" hidden="false" customHeight="false" outlineLevel="0" collapsed="false">
      <c r="A23" s="5" t="s">
        <v>38</v>
      </c>
      <c r="B23" s="7" t="n">
        <v>228</v>
      </c>
      <c r="C23" s="7" t="n">
        <v>27</v>
      </c>
      <c r="D23" s="17" t="n">
        <f aca="false">C23/B23</f>
        <v>0.118421052631579</v>
      </c>
      <c r="E23" s="17" t="n">
        <f aca="false">IF(B23&gt;=$H$2,D23,"")</f>
        <v>0.118421052631579</v>
      </c>
      <c r="F23" s="2"/>
      <c r="G23" s="2"/>
      <c r="H23" s="2"/>
    </row>
    <row r="24" customFormat="false" ht="15" hidden="false" customHeight="false" outlineLevel="0" collapsed="false">
      <c r="A24" s="5" t="s">
        <v>46</v>
      </c>
      <c r="B24" s="7" t="n">
        <v>154</v>
      </c>
      <c r="C24" s="7" t="n">
        <v>18</v>
      </c>
      <c r="D24" s="17" t="n">
        <f aca="false">C24/B24</f>
        <v>0.116883116883117</v>
      </c>
      <c r="E24" s="17" t="n">
        <f aca="false">IF(B24&gt;=$H$2,D24,"")</f>
        <v>0.116883116883117</v>
      </c>
      <c r="F24" s="2"/>
      <c r="G24" s="2"/>
      <c r="H24" s="2"/>
    </row>
    <row r="25" customFormat="false" ht="15" hidden="false" customHeight="false" outlineLevel="0" collapsed="false">
      <c r="A25" s="5" t="s">
        <v>108</v>
      </c>
      <c r="B25" s="7" t="n">
        <v>27</v>
      </c>
      <c r="C25" s="7" t="n">
        <v>3</v>
      </c>
      <c r="D25" s="17" t="n">
        <f aca="false">C25/B25</f>
        <v>0.111111111111111</v>
      </c>
      <c r="E25" s="17" t="n">
        <f aca="false">IF(B25&gt;=$H$2,D25,"")</f>
        <v>0.111111111111111</v>
      </c>
      <c r="F25" s="2"/>
      <c r="G25" s="2"/>
      <c r="H25" s="2"/>
    </row>
    <row r="26" customFormat="false" ht="15" hidden="false" customHeight="false" outlineLevel="0" collapsed="false">
      <c r="A26" s="5" t="s">
        <v>82</v>
      </c>
      <c r="B26" s="7" t="n">
        <v>55</v>
      </c>
      <c r="C26" s="7" t="n">
        <v>6</v>
      </c>
      <c r="D26" s="17" t="n">
        <f aca="false">C26/B26</f>
        <v>0.109090909090909</v>
      </c>
      <c r="E26" s="17" t="n">
        <f aca="false">IF(B26&gt;=$H$2,D26,"")</f>
        <v>0.109090909090909</v>
      </c>
      <c r="F26" s="2"/>
      <c r="G26" s="2"/>
      <c r="H26" s="2"/>
    </row>
    <row r="27" customFormat="false" ht="15" hidden="false" customHeight="false" outlineLevel="0" collapsed="false">
      <c r="A27" s="5" t="s">
        <v>27</v>
      </c>
      <c r="B27" s="7" t="n">
        <v>312</v>
      </c>
      <c r="C27" s="7" t="n">
        <v>34</v>
      </c>
      <c r="D27" s="17" t="n">
        <f aca="false">C27/B27</f>
        <v>0.108974358974359</v>
      </c>
      <c r="E27" s="17" t="n">
        <f aca="false">IF(B27&gt;=$H$2,D27,"")</f>
        <v>0.108974358974359</v>
      </c>
      <c r="F27" s="2"/>
      <c r="G27" s="2"/>
      <c r="H27" s="2"/>
    </row>
    <row r="28" customFormat="false" ht="15" hidden="false" customHeight="false" outlineLevel="0" collapsed="false">
      <c r="A28" s="5" t="s">
        <v>10</v>
      </c>
      <c r="B28" s="7" t="n">
        <v>616</v>
      </c>
      <c r="C28" s="7" t="n">
        <v>65</v>
      </c>
      <c r="D28" s="17" t="n">
        <f aca="false">C28/B28</f>
        <v>0.105519480519481</v>
      </c>
      <c r="E28" s="17" t="n">
        <f aca="false">IF(B28&gt;=$H$2,D28,"")</f>
        <v>0.105519480519481</v>
      </c>
      <c r="F28" s="2"/>
      <c r="G28" s="2"/>
      <c r="H28" s="2"/>
    </row>
    <row r="29" customFormat="false" ht="15" hidden="false" customHeight="false" outlineLevel="0" collapsed="false">
      <c r="A29" s="5" t="s">
        <v>123</v>
      </c>
      <c r="B29" s="7" t="n">
        <v>19</v>
      </c>
      <c r="C29" s="7" t="n">
        <v>2</v>
      </c>
      <c r="D29" s="17" t="n">
        <f aca="false">C29/B29</f>
        <v>0.105263157894737</v>
      </c>
      <c r="E29" s="17" t="str">
        <f aca="false">IF(B29&gt;=$H$2,D29,"")</f>
        <v/>
      </c>
      <c r="F29" s="2"/>
      <c r="G29" s="2"/>
      <c r="H29" s="2"/>
    </row>
    <row r="30" customFormat="false" ht="15" hidden="false" customHeight="false" outlineLevel="0" collapsed="false">
      <c r="A30" s="5" t="s">
        <v>48</v>
      </c>
      <c r="B30" s="7" t="n">
        <v>166</v>
      </c>
      <c r="C30" s="7" t="n">
        <v>17</v>
      </c>
      <c r="D30" s="17" t="n">
        <f aca="false">C30/B30</f>
        <v>0.102409638554217</v>
      </c>
      <c r="E30" s="17" t="n">
        <f aca="false">IF(B30&gt;=$H$2,D30,"")</f>
        <v>0.102409638554217</v>
      </c>
      <c r="F30" s="2"/>
      <c r="G30" s="2"/>
      <c r="H30" s="2"/>
    </row>
    <row r="31" customFormat="false" ht="15" hidden="false" customHeight="false" outlineLevel="0" collapsed="false">
      <c r="A31" s="5" t="s">
        <v>56</v>
      </c>
      <c r="B31" s="7" t="n">
        <v>147</v>
      </c>
      <c r="C31" s="7" t="n">
        <v>15</v>
      </c>
      <c r="D31" s="17" t="n">
        <f aca="false">C31/B31</f>
        <v>0.102040816326531</v>
      </c>
      <c r="E31" s="17" t="n">
        <f aca="false">IF(B31&gt;=$H$2,D31,"")</f>
        <v>0.102040816326531</v>
      </c>
      <c r="F31" s="2"/>
      <c r="G31" s="2"/>
      <c r="H31" s="2"/>
    </row>
    <row r="32" customFormat="false" ht="15" hidden="false" customHeight="false" outlineLevel="0" collapsed="false">
      <c r="A32" s="5" t="s">
        <v>130</v>
      </c>
      <c r="B32" s="7" t="n">
        <v>10</v>
      </c>
      <c r="C32" s="7" t="n">
        <v>1</v>
      </c>
      <c r="D32" s="17" t="n">
        <f aca="false">C32/B32</f>
        <v>0.1</v>
      </c>
      <c r="E32" s="17" t="str">
        <f aca="false">IF(B32&gt;=$H$2,D32,"")</f>
        <v/>
      </c>
      <c r="F32" s="2"/>
      <c r="G32" s="2"/>
      <c r="H32" s="2"/>
    </row>
    <row r="33" customFormat="false" ht="15" hidden="false" customHeight="false" outlineLevel="0" collapsed="false">
      <c r="A33" s="5" t="s">
        <v>113</v>
      </c>
      <c r="B33" s="7" t="n">
        <v>30</v>
      </c>
      <c r="C33" s="7" t="n">
        <v>3</v>
      </c>
      <c r="D33" s="17" t="n">
        <f aca="false">C33/B33</f>
        <v>0.1</v>
      </c>
      <c r="E33" s="17" t="n">
        <f aca="false">IF(B33&gt;=$H$2,D33,"")</f>
        <v>0.1</v>
      </c>
      <c r="F33" s="2"/>
      <c r="G33" s="2"/>
      <c r="H33" s="2"/>
    </row>
    <row r="34" customFormat="false" ht="15" hidden="false" customHeight="false" outlineLevel="0" collapsed="false">
      <c r="A34" s="5" t="s">
        <v>87</v>
      </c>
      <c r="B34" s="7" t="n">
        <v>62</v>
      </c>
      <c r="C34" s="7" t="n">
        <v>6</v>
      </c>
      <c r="D34" s="17" t="n">
        <f aca="false">C34/B34</f>
        <v>0.0967741935483871</v>
      </c>
      <c r="E34" s="17" t="n">
        <f aca="false">IF(B34&gt;=$H$2,D34,"")</f>
        <v>0.0967741935483871</v>
      </c>
      <c r="F34" s="2"/>
      <c r="G34" s="2"/>
      <c r="H34" s="2"/>
    </row>
    <row r="35" customFormat="false" ht="15" hidden="false" customHeight="false" outlineLevel="0" collapsed="false">
      <c r="A35" s="5" t="s">
        <v>110</v>
      </c>
      <c r="B35" s="7" t="n">
        <v>31</v>
      </c>
      <c r="C35" s="7" t="n">
        <v>3</v>
      </c>
      <c r="D35" s="17" t="n">
        <f aca="false">C35/B35</f>
        <v>0.0967741935483871</v>
      </c>
      <c r="E35" s="17" t="n">
        <f aca="false">IF(B35&gt;=$H$2,D35,"")</f>
        <v>0.0967741935483871</v>
      </c>
      <c r="F35" s="2"/>
      <c r="G35" s="2"/>
      <c r="H35" s="2"/>
    </row>
    <row r="36" customFormat="false" ht="15" hidden="false" customHeight="false" outlineLevel="0" collapsed="false">
      <c r="A36" s="5" t="s">
        <v>84</v>
      </c>
      <c r="B36" s="7" t="n">
        <v>63</v>
      </c>
      <c r="C36" s="7" t="n">
        <v>6</v>
      </c>
      <c r="D36" s="17" t="n">
        <f aca="false">C36/B36</f>
        <v>0.0952380952380952</v>
      </c>
      <c r="E36" s="17" t="n">
        <f aca="false">IF(B36&gt;=$H$2,D36,"")</f>
        <v>0.0952380952380952</v>
      </c>
      <c r="F36" s="2"/>
      <c r="G36" s="2"/>
      <c r="H36" s="2"/>
    </row>
    <row r="37" customFormat="false" ht="15" hidden="false" customHeight="false" outlineLevel="0" collapsed="false">
      <c r="A37" s="5" t="s">
        <v>58</v>
      </c>
      <c r="B37" s="7" t="n">
        <v>141</v>
      </c>
      <c r="C37" s="7" t="n">
        <v>13</v>
      </c>
      <c r="D37" s="17" t="n">
        <f aca="false">C37/B37</f>
        <v>0.0921985815602837</v>
      </c>
      <c r="E37" s="17" t="n">
        <f aca="false">IF(B37&gt;=$H$2,D37,"")</f>
        <v>0.0921985815602837</v>
      </c>
      <c r="F37" s="2"/>
      <c r="G37" s="2"/>
      <c r="H37" s="2"/>
    </row>
    <row r="38" customFormat="false" ht="15" hidden="false" customHeight="false" outlineLevel="0" collapsed="false">
      <c r="A38" s="5" t="s">
        <v>109</v>
      </c>
      <c r="B38" s="7" t="n">
        <v>33</v>
      </c>
      <c r="C38" s="7" t="n">
        <v>3</v>
      </c>
      <c r="D38" s="17" t="n">
        <f aca="false">C38/B38</f>
        <v>0.0909090909090909</v>
      </c>
      <c r="E38" s="17" t="n">
        <f aca="false">IF(B38&gt;=$H$2,D38,"")</f>
        <v>0.0909090909090909</v>
      </c>
      <c r="F38" s="2"/>
      <c r="G38" s="2"/>
      <c r="H38" s="2"/>
    </row>
    <row r="39" customFormat="false" ht="15" hidden="false" customHeight="false" outlineLevel="0" collapsed="false">
      <c r="A39" s="5" t="s">
        <v>44</v>
      </c>
      <c r="B39" s="7" t="n">
        <v>243</v>
      </c>
      <c r="C39" s="7" t="n">
        <v>22</v>
      </c>
      <c r="D39" s="17" t="n">
        <f aca="false">C39/B39</f>
        <v>0.0905349794238683</v>
      </c>
      <c r="E39" s="17" t="n">
        <f aca="false">IF(B39&gt;=$H$2,D39,"")</f>
        <v>0.0905349794238683</v>
      </c>
      <c r="F39" s="2"/>
      <c r="G39" s="2"/>
      <c r="H39" s="2"/>
    </row>
    <row r="40" customFormat="false" ht="15" hidden="false" customHeight="false" outlineLevel="0" collapsed="false">
      <c r="A40" s="5" t="s">
        <v>74</v>
      </c>
      <c r="B40" s="7" t="n">
        <v>91</v>
      </c>
      <c r="C40" s="7" t="n">
        <v>8</v>
      </c>
      <c r="D40" s="17" t="n">
        <f aca="false">C40/B40</f>
        <v>0.0879120879120879</v>
      </c>
      <c r="E40" s="17" t="n">
        <f aca="false">IF(B40&gt;=$H$2,D40,"")</f>
        <v>0.0879120879120879</v>
      </c>
      <c r="F40" s="2"/>
      <c r="G40" s="2"/>
      <c r="H40" s="2"/>
    </row>
    <row r="41" customFormat="false" ht="15" hidden="false" customHeight="false" outlineLevel="0" collapsed="false">
      <c r="A41" s="5" t="s">
        <v>49</v>
      </c>
      <c r="B41" s="7" t="n">
        <v>200</v>
      </c>
      <c r="C41" s="7" t="n">
        <v>17</v>
      </c>
      <c r="D41" s="17" t="n">
        <f aca="false">C41/B41</f>
        <v>0.085</v>
      </c>
      <c r="E41" s="17" t="n">
        <f aca="false">IF(B41&gt;=$H$2,D41,"")</f>
        <v>0.085</v>
      </c>
      <c r="F41" s="2"/>
      <c r="G41" s="2"/>
      <c r="H41" s="2"/>
    </row>
    <row r="42" customFormat="false" ht="15" hidden="false" customHeight="false" outlineLevel="0" collapsed="false">
      <c r="A42" s="5" t="s">
        <v>92</v>
      </c>
      <c r="B42" s="7" t="n">
        <v>59</v>
      </c>
      <c r="C42" s="7" t="n">
        <v>5</v>
      </c>
      <c r="D42" s="17" t="n">
        <f aca="false">C42/B42</f>
        <v>0.0847457627118644</v>
      </c>
      <c r="E42" s="17" t="n">
        <f aca="false">IF(B42&gt;=$H$2,D42,"")</f>
        <v>0.0847457627118644</v>
      </c>
      <c r="F42" s="2"/>
      <c r="G42" s="2"/>
      <c r="H42" s="2"/>
    </row>
    <row r="43" customFormat="false" ht="15" hidden="false" customHeight="false" outlineLevel="0" collapsed="false">
      <c r="A43" s="5" t="s">
        <v>88</v>
      </c>
      <c r="B43" s="7" t="n">
        <v>71</v>
      </c>
      <c r="C43" s="7" t="n">
        <v>6</v>
      </c>
      <c r="D43" s="17" t="n">
        <f aca="false">C43/B43</f>
        <v>0.0845070422535211</v>
      </c>
      <c r="E43" s="17" t="n">
        <f aca="false">IF(B43&gt;=$H$2,D43,"")</f>
        <v>0.0845070422535211</v>
      </c>
      <c r="F43" s="2"/>
      <c r="G43" s="2"/>
      <c r="H43" s="2"/>
    </row>
    <row r="44" customFormat="false" ht="15" hidden="false" customHeight="false" outlineLevel="0" collapsed="false">
      <c r="A44" s="5" t="s">
        <v>39</v>
      </c>
      <c r="B44" s="7" t="n">
        <v>323</v>
      </c>
      <c r="C44" s="7" t="n">
        <v>27</v>
      </c>
      <c r="D44" s="17" t="n">
        <f aca="false">C44/B44</f>
        <v>0.0835913312693498</v>
      </c>
      <c r="E44" s="17" t="n">
        <f aca="false">IF(B44&gt;=$H$2,D44,"")</f>
        <v>0.0835913312693498</v>
      </c>
      <c r="F44" s="2"/>
      <c r="G44" s="2"/>
      <c r="H44" s="2"/>
    </row>
    <row r="45" customFormat="false" ht="15" hidden="false" customHeight="false" outlineLevel="0" collapsed="false">
      <c r="A45" s="5" t="s">
        <v>35</v>
      </c>
      <c r="B45" s="7" t="n">
        <v>375</v>
      </c>
      <c r="C45" s="7" t="n">
        <v>29</v>
      </c>
      <c r="D45" s="17" t="n">
        <f aca="false">C45/B45</f>
        <v>0.0773333333333333</v>
      </c>
      <c r="E45" s="17" t="n">
        <f aca="false">IF(B45&gt;=$H$2,D45,"")</f>
        <v>0.0773333333333333</v>
      </c>
      <c r="F45" s="2"/>
      <c r="G45" s="2"/>
      <c r="H45" s="2"/>
    </row>
    <row r="46" customFormat="false" ht="15" hidden="false" customHeight="false" outlineLevel="0" collapsed="false">
      <c r="A46" s="5" t="s">
        <v>137</v>
      </c>
      <c r="B46" s="7" t="n">
        <v>13</v>
      </c>
      <c r="C46" s="7" t="n">
        <v>1</v>
      </c>
      <c r="D46" s="17" t="n">
        <f aca="false">C46/B46</f>
        <v>0.0769230769230769</v>
      </c>
      <c r="E46" s="17" t="str">
        <f aca="false">IF(B46&gt;=$H$2,D46,"")</f>
        <v/>
      </c>
      <c r="F46" s="2"/>
      <c r="G46" s="2"/>
      <c r="H46" s="2"/>
    </row>
    <row r="47" customFormat="false" ht="15" hidden="false" customHeight="false" outlineLevel="0" collapsed="false">
      <c r="A47" s="5" t="s">
        <v>36</v>
      </c>
      <c r="B47" s="7" t="n">
        <v>370</v>
      </c>
      <c r="C47" s="7" t="n">
        <v>28</v>
      </c>
      <c r="D47" s="17" t="n">
        <f aca="false">C47/B47</f>
        <v>0.0756756756756757</v>
      </c>
      <c r="E47" s="17" t="n">
        <f aca="false">IF(B47&gt;=$H$2,D47,"")</f>
        <v>0.0756756756756757</v>
      </c>
      <c r="F47" s="2"/>
      <c r="G47" s="2"/>
      <c r="H47" s="2"/>
    </row>
    <row r="48" customFormat="false" ht="15" hidden="false" customHeight="false" outlineLevel="0" collapsed="false">
      <c r="A48" s="5" t="s">
        <v>18</v>
      </c>
      <c r="B48" s="7" t="n">
        <v>669</v>
      </c>
      <c r="C48" s="7" t="n">
        <v>50</v>
      </c>
      <c r="D48" s="17" t="n">
        <f aca="false">C48/B48</f>
        <v>0.0747384155455904</v>
      </c>
      <c r="E48" s="17" t="n">
        <f aca="false">IF(B48&gt;=$H$2,D48,"")</f>
        <v>0.0747384155455904</v>
      </c>
      <c r="F48" s="2"/>
      <c r="G48" s="2"/>
      <c r="H48" s="2"/>
    </row>
    <row r="49" customFormat="false" ht="15" hidden="false" customHeight="false" outlineLevel="0" collapsed="false">
      <c r="A49" s="5" t="s">
        <v>59</v>
      </c>
      <c r="B49" s="7" t="n">
        <v>178</v>
      </c>
      <c r="C49" s="7" t="n">
        <v>13</v>
      </c>
      <c r="D49" s="17" t="n">
        <f aca="false">C49/B49</f>
        <v>0.0730337078651685</v>
      </c>
      <c r="E49" s="17" t="n">
        <f aca="false">IF(B49&gt;=$H$2,D49,"")</f>
        <v>0.0730337078651685</v>
      </c>
      <c r="F49" s="2"/>
      <c r="G49" s="2"/>
      <c r="H49" s="2"/>
    </row>
    <row r="50" customFormat="false" ht="15" hidden="false" customHeight="false" outlineLevel="0" collapsed="false">
      <c r="A50" s="5" t="s">
        <v>129</v>
      </c>
      <c r="B50" s="7" t="n">
        <v>14</v>
      </c>
      <c r="C50" s="7" t="n">
        <v>1</v>
      </c>
      <c r="D50" s="17" t="n">
        <f aca="false">C50/B50</f>
        <v>0.0714285714285714</v>
      </c>
      <c r="E50" s="17" t="str">
        <f aca="false">IF(B50&gt;=$H$2,D50,"")</f>
        <v/>
      </c>
      <c r="F50" s="2"/>
      <c r="G50" s="2"/>
      <c r="H50" s="2"/>
    </row>
    <row r="51" customFormat="false" ht="15" hidden="false" customHeight="false" outlineLevel="0" collapsed="false">
      <c r="A51" s="5" t="s">
        <v>77</v>
      </c>
      <c r="B51" s="7" t="n">
        <v>99</v>
      </c>
      <c r="C51" s="7" t="n">
        <v>7</v>
      </c>
      <c r="D51" s="17" t="n">
        <f aca="false">C51/B51</f>
        <v>0.0707070707070707</v>
      </c>
      <c r="E51" s="17" t="n">
        <f aca="false">IF(B51&gt;=$H$2,D51,"")</f>
        <v>0.0707070707070707</v>
      </c>
      <c r="F51" s="2"/>
      <c r="G51" s="2"/>
      <c r="H51" s="2"/>
    </row>
    <row r="52" customFormat="false" ht="15" hidden="false" customHeight="false" outlineLevel="0" collapsed="false">
      <c r="A52" s="5" t="s">
        <v>25</v>
      </c>
      <c r="B52" s="7" t="n">
        <v>588</v>
      </c>
      <c r="C52" s="7" t="n">
        <v>41</v>
      </c>
      <c r="D52" s="17" t="n">
        <f aca="false">C52/B52</f>
        <v>0.0697278911564626</v>
      </c>
      <c r="E52" s="17" t="n">
        <f aca="false">IF(B52&gt;=$H$2,D52,"")</f>
        <v>0.0697278911564626</v>
      </c>
      <c r="F52" s="2"/>
      <c r="G52" s="2"/>
      <c r="H52" s="2"/>
    </row>
    <row r="53" customFormat="false" ht="15" hidden="false" customHeight="false" outlineLevel="0" collapsed="false">
      <c r="A53" s="5" t="s">
        <v>72</v>
      </c>
      <c r="B53" s="7" t="n">
        <v>133</v>
      </c>
      <c r="C53" s="7" t="n">
        <v>9</v>
      </c>
      <c r="D53" s="17" t="n">
        <f aca="false">C53/B53</f>
        <v>0.0676691729323308</v>
      </c>
      <c r="E53" s="17" t="n">
        <f aca="false">IF(B53&gt;=$H$2,D53,"")</f>
        <v>0.0676691729323308</v>
      </c>
      <c r="F53" s="2"/>
      <c r="G53" s="2"/>
      <c r="H53" s="2"/>
    </row>
    <row r="54" customFormat="false" ht="15" hidden="false" customHeight="false" outlineLevel="0" collapsed="false">
      <c r="A54" s="5" t="s">
        <v>61</v>
      </c>
      <c r="B54" s="7" t="n">
        <v>194</v>
      </c>
      <c r="C54" s="7" t="n">
        <v>13</v>
      </c>
      <c r="D54" s="17" t="n">
        <f aca="false">C54/B54</f>
        <v>0.0670103092783505</v>
      </c>
      <c r="E54" s="17" t="n">
        <f aca="false">IF(B54&gt;=$H$2,D54,"")</f>
        <v>0.0670103092783505</v>
      </c>
      <c r="F54" s="2"/>
      <c r="G54" s="2"/>
      <c r="H54" s="2"/>
    </row>
    <row r="55" customFormat="false" ht="15" hidden="false" customHeight="false" outlineLevel="0" collapsed="false">
      <c r="A55" s="5" t="s">
        <v>16</v>
      </c>
      <c r="B55" s="7" t="n">
        <v>875</v>
      </c>
      <c r="C55" s="7" t="n">
        <v>58</v>
      </c>
      <c r="D55" s="17" t="n">
        <f aca="false">C55/B55</f>
        <v>0.0662857142857143</v>
      </c>
      <c r="E55" s="17" t="n">
        <f aca="false">IF(B55&gt;=$H$2,D55,"")</f>
        <v>0.0662857142857143</v>
      </c>
      <c r="F55" s="2"/>
      <c r="G55" s="2"/>
      <c r="H55" s="2"/>
    </row>
    <row r="56" customFormat="false" ht="15" hidden="false" customHeight="false" outlineLevel="0" collapsed="false">
      <c r="A56" s="5" t="s">
        <v>51</v>
      </c>
      <c r="B56" s="7" t="n">
        <v>253</v>
      </c>
      <c r="C56" s="7" t="n">
        <v>16</v>
      </c>
      <c r="D56" s="17" t="n">
        <f aca="false">C56/B56</f>
        <v>0.0632411067193676</v>
      </c>
      <c r="E56" s="17" t="n">
        <f aca="false">IF(B56&gt;=$H$2,D56,"")</f>
        <v>0.0632411067193676</v>
      </c>
      <c r="F56" s="2"/>
      <c r="G56" s="2"/>
      <c r="H56" s="2"/>
    </row>
    <row r="57" customFormat="false" ht="15" hidden="false" customHeight="false" outlineLevel="0" collapsed="false">
      <c r="A57" s="5" t="s">
        <v>124</v>
      </c>
      <c r="B57" s="7" t="n">
        <v>32</v>
      </c>
      <c r="C57" s="7" t="n">
        <v>2</v>
      </c>
      <c r="D57" s="17" t="n">
        <f aca="false">C57/B57</f>
        <v>0.0625</v>
      </c>
      <c r="E57" s="17" t="n">
        <f aca="false">IF(B57&gt;=$H$2,D57,"")</f>
        <v>0.0625</v>
      </c>
      <c r="F57" s="2"/>
      <c r="G57" s="2"/>
      <c r="H57" s="2"/>
    </row>
    <row r="58" customFormat="false" ht="15" hidden="false" customHeight="false" outlineLevel="0" collapsed="false">
      <c r="A58" s="5" t="s">
        <v>53</v>
      </c>
      <c r="B58" s="7" t="n">
        <v>269</v>
      </c>
      <c r="C58" s="7" t="n">
        <v>16</v>
      </c>
      <c r="D58" s="17" t="n">
        <f aca="false">C58/B58</f>
        <v>0.0594795539033457</v>
      </c>
      <c r="E58" s="17" t="n">
        <f aca="false">IF(B58&gt;=$H$2,D58,"")</f>
        <v>0.0594795539033457</v>
      </c>
      <c r="F58" s="2"/>
      <c r="G58" s="2"/>
      <c r="H58" s="2"/>
    </row>
    <row r="59" customFormat="false" ht="15" hidden="false" customHeight="false" outlineLevel="0" collapsed="false">
      <c r="A59" s="5" t="s">
        <v>79</v>
      </c>
      <c r="B59" s="7" t="n">
        <v>119</v>
      </c>
      <c r="C59" s="7" t="n">
        <v>7</v>
      </c>
      <c r="D59" s="17" t="n">
        <f aca="false">C59/B59</f>
        <v>0.0588235294117647</v>
      </c>
      <c r="E59" s="17" t="n">
        <f aca="false">IF(B59&gt;=$H$2,D59,"")</f>
        <v>0.0588235294117647</v>
      </c>
      <c r="F59" s="2"/>
      <c r="G59" s="2"/>
      <c r="H59" s="2"/>
    </row>
    <row r="60" customFormat="false" ht="15" hidden="false" customHeight="false" outlineLevel="0" collapsed="false">
      <c r="A60" s="5" t="s">
        <v>34</v>
      </c>
      <c r="B60" s="7" t="n">
        <v>499</v>
      </c>
      <c r="C60" s="7" t="n">
        <v>29</v>
      </c>
      <c r="D60" s="17" t="n">
        <f aca="false">C60/B60</f>
        <v>0.0581162324649299</v>
      </c>
      <c r="E60" s="17" t="n">
        <f aca="false">IF(B60&gt;=$H$2,D60,"")</f>
        <v>0.0581162324649299</v>
      </c>
      <c r="F60" s="2"/>
      <c r="G60" s="2"/>
      <c r="H60" s="2"/>
    </row>
    <row r="61" customFormat="false" ht="15" hidden="false" customHeight="false" outlineLevel="0" collapsed="false">
      <c r="A61" s="5" t="s">
        <v>99</v>
      </c>
      <c r="B61" s="7" t="n">
        <v>70</v>
      </c>
      <c r="C61" s="7" t="n">
        <v>4</v>
      </c>
      <c r="D61" s="17" t="n">
        <f aca="false">C61/B61</f>
        <v>0.0571428571428571</v>
      </c>
      <c r="E61" s="17" t="n">
        <f aca="false">IF(B61&gt;=$H$2,D61,"")</f>
        <v>0.0571428571428571</v>
      </c>
      <c r="F61" s="2"/>
      <c r="G61" s="2"/>
      <c r="H61" s="2"/>
    </row>
    <row r="62" customFormat="false" ht="15" hidden="false" customHeight="false" outlineLevel="0" collapsed="false">
      <c r="A62" s="5" t="s">
        <v>69</v>
      </c>
      <c r="B62" s="7" t="n">
        <v>181</v>
      </c>
      <c r="C62" s="7" t="n">
        <v>10</v>
      </c>
      <c r="D62" s="17" t="n">
        <f aca="false">C62/B62</f>
        <v>0.0552486187845304</v>
      </c>
      <c r="E62" s="17" t="n">
        <f aca="false">IF(B62&gt;=$H$2,D62,"")</f>
        <v>0.0552486187845304</v>
      </c>
      <c r="F62" s="2"/>
      <c r="G62" s="2"/>
      <c r="H62" s="2"/>
    </row>
    <row r="63" customFormat="false" ht="15" hidden="false" customHeight="false" outlineLevel="0" collapsed="false">
      <c r="A63" s="5" t="s">
        <v>37</v>
      </c>
      <c r="B63" s="7" t="n">
        <v>493</v>
      </c>
      <c r="C63" s="7" t="n">
        <v>27</v>
      </c>
      <c r="D63" s="17" t="n">
        <f aca="false">C63/B63</f>
        <v>0.0547667342799189</v>
      </c>
      <c r="E63" s="17" t="n">
        <f aca="false">IF(B63&gt;=$H$2,D63,"")</f>
        <v>0.0547667342799189</v>
      </c>
      <c r="F63" s="2"/>
      <c r="G63" s="2"/>
      <c r="H63" s="2"/>
    </row>
    <row r="64" customFormat="false" ht="15" hidden="false" customHeight="false" outlineLevel="0" collapsed="false">
      <c r="A64" s="5" t="s">
        <v>54</v>
      </c>
      <c r="B64" s="7" t="n">
        <v>287</v>
      </c>
      <c r="C64" s="7" t="n">
        <v>15</v>
      </c>
      <c r="D64" s="17" t="n">
        <f aca="false">C64/B64</f>
        <v>0.0522648083623693</v>
      </c>
      <c r="E64" s="17" t="n">
        <f aca="false">IF(B64&gt;=$H$2,D64,"")</f>
        <v>0.0522648083623693</v>
      </c>
      <c r="F64" s="2"/>
      <c r="G64" s="2"/>
      <c r="H64" s="2"/>
    </row>
    <row r="65" customFormat="false" ht="15" hidden="false" customHeight="false" outlineLevel="0" collapsed="false">
      <c r="A65" s="5" t="s">
        <v>70</v>
      </c>
      <c r="B65" s="7" t="n">
        <v>195</v>
      </c>
      <c r="C65" s="7" t="n">
        <v>10</v>
      </c>
      <c r="D65" s="17" t="n">
        <f aca="false">C65/B65</f>
        <v>0.0512820512820513</v>
      </c>
      <c r="E65" s="17" t="n">
        <f aca="false">IF(B65&gt;=$H$2,D65,"")</f>
        <v>0.0512820512820513</v>
      </c>
      <c r="F65" s="2"/>
      <c r="G65" s="2"/>
      <c r="H65" s="2"/>
    </row>
    <row r="66" customFormat="false" ht="15" hidden="false" customHeight="false" outlineLevel="0" collapsed="false">
      <c r="A66" s="5" t="s">
        <v>75</v>
      </c>
      <c r="B66" s="7" t="n">
        <v>158</v>
      </c>
      <c r="C66" s="7" t="n">
        <v>8</v>
      </c>
      <c r="D66" s="17" t="n">
        <f aca="false">C66/B66</f>
        <v>0.0506329113924051</v>
      </c>
      <c r="E66" s="17" t="n">
        <f aca="false">IF(B66&gt;=$H$2,D66,"")</f>
        <v>0.0506329113924051</v>
      </c>
      <c r="F66" s="2"/>
      <c r="G66" s="2"/>
      <c r="H66" s="2"/>
    </row>
    <row r="67" customFormat="false" ht="15" hidden="false" customHeight="false" outlineLevel="0" collapsed="false">
      <c r="A67" s="5" t="s">
        <v>93</v>
      </c>
      <c r="B67" s="7" t="n">
        <v>99</v>
      </c>
      <c r="C67" s="7" t="n">
        <v>5</v>
      </c>
      <c r="D67" s="17" t="n">
        <f aca="false">C67/B67</f>
        <v>0.0505050505050505</v>
      </c>
      <c r="E67" s="17" t="n">
        <f aca="false">IF(B67&gt;=$H$2,D67,"")</f>
        <v>0.0505050505050505</v>
      </c>
      <c r="F67" s="2"/>
      <c r="G67" s="2"/>
      <c r="H67" s="2"/>
    </row>
    <row r="68" customFormat="false" ht="15" hidden="false" customHeight="false" outlineLevel="0" collapsed="false">
      <c r="A68" s="5" t="s">
        <v>126</v>
      </c>
      <c r="B68" s="7" t="n">
        <v>20</v>
      </c>
      <c r="C68" s="7" t="n">
        <v>1</v>
      </c>
      <c r="D68" s="17" t="n">
        <f aca="false">C68/B68</f>
        <v>0.05</v>
      </c>
      <c r="E68" s="17" t="n">
        <f aca="false">IF(B68&gt;=$H$2,D68,"")</f>
        <v>0.05</v>
      </c>
      <c r="F68" s="2"/>
      <c r="G68" s="2"/>
      <c r="H68" s="2"/>
    </row>
    <row r="69" customFormat="false" ht="15" hidden="false" customHeight="false" outlineLevel="0" collapsed="false">
      <c r="A69" s="5" t="s">
        <v>141</v>
      </c>
      <c r="B69" s="7" t="n">
        <v>20</v>
      </c>
      <c r="C69" s="7" t="n">
        <v>1</v>
      </c>
      <c r="D69" s="17" t="n">
        <f aca="false">C69/B69</f>
        <v>0.05</v>
      </c>
      <c r="E69" s="17" t="n">
        <f aca="false">IF(B69&gt;=$H$2,D69,"")</f>
        <v>0.05</v>
      </c>
      <c r="F69" s="2"/>
      <c r="G69" s="2"/>
      <c r="H69" s="2"/>
    </row>
    <row r="70" customFormat="false" ht="15" hidden="false" customHeight="false" outlineLevel="0" collapsed="false">
      <c r="A70" s="5" t="s">
        <v>6</v>
      </c>
      <c r="B70" s="7" t="n">
        <v>2554</v>
      </c>
      <c r="C70" s="7" t="n">
        <v>122</v>
      </c>
      <c r="D70" s="17" t="n">
        <f aca="false">C70/B70</f>
        <v>0.0477682067345341</v>
      </c>
      <c r="E70" s="17" t="n">
        <f aca="false">IF(B70&gt;=$H$2,D70,"")</f>
        <v>0.0477682067345341</v>
      </c>
      <c r="F70" s="2"/>
      <c r="G70" s="2"/>
      <c r="H70" s="2"/>
    </row>
    <row r="71" customFormat="false" ht="15" hidden="false" customHeight="false" outlineLevel="0" collapsed="false">
      <c r="A71" s="5" t="s">
        <v>95</v>
      </c>
      <c r="B71" s="7" t="n">
        <v>105</v>
      </c>
      <c r="C71" s="7" t="n">
        <v>5</v>
      </c>
      <c r="D71" s="17" t="n">
        <f aca="false">C71/B71</f>
        <v>0.0476190476190476</v>
      </c>
      <c r="E71" s="17" t="n">
        <f aca="false">IF(B71&gt;=$H$2,D71,"")</f>
        <v>0.0476190476190476</v>
      </c>
      <c r="F71" s="2"/>
      <c r="G71" s="2"/>
      <c r="H71" s="2"/>
    </row>
    <row r="72" customFormat="false" ht="15" hidden="false" customHeight="false" outlineLevel="0" collapsed="false">
      <c r="A72" s="5" t="s">
        <v>63</v>
      </c>
      <c r="B72" s="7" t="n">
        <v>254</v>
      </c>
      <c r="C72" s="7" t="n">
        <v>12</v>
      </c>
      <c r="D72" s="17" t="n">
        <f aca="false">C72/B72</f>
        <v>0.047244094488189</v>
      </c>
      <c r="E72" s="17" t="n">
        <f aca="false">IF(B72&gt;=$H$2,D72,"")</f>
        <v>0.047244094488189</v>
      </c>
      <c r="F72" s="2"/>
      <c r="G72" s="2"/>
      <c r="H72" s="2"/>
    </row>
    <row r="73" customFormat="false" ht="15" hidden="false" customHeight="false" outlineLevel="0" collapsed="false">
      <c r="A73" s="5" t="s">
        <v>122</v>
      </c>
      <c r="B73" s="7" t="n">
        <v>44</v>
      </c>
      <c r="C73" s="7" t="n">
        <v>2</v>
      </c>
      <c r="D73" s="17" t="n">
        <f aca="false">C73/B73</f>
        <v>0.0454545454545455</v>
      </c>
      <c r="E73" s="17" t="n">
        <f aca="false">IF(B73&gt;=$H$2,D73,"")</f>
        <v>0.0454545454545455</v>
      </c>
      <c r="F73" s="2"/>
      <c r="G73" s="2"/>
      <c r="H73" s="2"/>
    </row>
    <row r="74" customFormat="false" ht="15" hidden="false" customHeight="false" outlineLevel="0" collapsed="false">
      <c r="A74" s="5" t="s">
        <v>140</v>
      </c>
      <c r="B74" s="7" t="n">
        <v>22</v>
      </c>
      <c r="C74" s="7" t="n">
        <v>1</v>
      </c>
      <c r="D74" s="17" t="n">
        <f aca="false">C74/B74</f>
        <v>0.0454545454545455</v>
      </c>
      <c r="E74" s="17" t="n">
        <f aca="false">IF(B74&gt;=$H$2,D74,"")</f>
        <v>0.0454545454545455</v>
      </c>
      <c r="F74" s="2"/>
      <c r="G74" s="2"/>
      <c r="H74" s="2"/>
    </row>
    <row r="75" customFormat="false" ht="15" hidden="false" customHeight="false" outlineLevel="0" collapsed="false">
      <c r="A75" s="5" t="s">
        <v>89</v>
      </c>
      <c r="B75" s="7" t="n">
        <v>114</v>
      </c>
      <c r="C75" s="7" t="n">
        <v>5</v>
      </c>
      <c r="D75" s="17" t="n">
        <f aca="false">C75/B75</f>
        <v>0.043859649122807</v>
      </c>
      <c r="E75" s="17" t="n">
        <f aca="false">IF(B75&gt;=$H$2,D75,"")</f>
        <v>0.043859649122807</v>
      </c>
      <c r="F75" s="2"/>
      <c r="G75" s="2"/>
      <c r="H75" s="2"/>
    </row>
    <row r="76" customFormat="false" ht="15" hidden="false" customHeight="false" outlineLevel="0" collapsed="false">
      <c r="A76" s="5" t="s">
        <v>33</v>
      </c>
      <c r="B76" s="7" t="n">
        <v>671</v>
      </c>
      <c r="C76" s="7" t="n">
        <v>29</v>
      </c>
      <c r="D76" s="17" t="n">
        <f aca="false">C76/B76</f>
        <v>0.0432190760059613</v>
      </c>
      <c r="E76" s="17" t="n">
        <f aca="false">IF(B76&gt;=$H$2,D76,"")</f>
        <v>0.0432190760059613</v>
      </c>
      <c r="F76" s="2"/>
      <c r="G76" s="2"/>
      <c r="H76" s="2"/>
    </row>
    <row r="77" customFormat="false" ht="15" hidden="false" customHeight="false" outlineLevel="0" collapsed="false">
      <c r="A77" s="5" t="s">
        <v>73</v>
      </c>
      <c r="B77" s="7" t="n">
        <v>214</v>
      </c>
      <c r="C77" s="7" t="n">
        <v>9</v>
      </c>
      <c r="D77" s="17" t="n">
        <f aca="false">C77/B77</f>
        <v>0.0420560747663551</v>
      </c>
      <c r="E77" s="17" t="n">
        <f aca="false">IF(B77&gt;=$H$2,D77,"")</f>
        <v>0.0420560747663551</v>
      </c>
      <c r="F77" s="2"/>
      <c r="G77" s="2"/>
      <c r="H77" s="2"/>
    </row>
    <row r="78" customFormat="false" ht="15" hidden="false" customHeight="false" outlineLevel="0" collapsed="false">
      <c r="A78" s="5" t="s">
        <v>52</v>
      </c>
      <c r="B78" s="7" t="n">
        <v>385</v>
      </c>
      <c r="C78" s="7" t="n">
        <v>16</v>
      </c>
      <c r="D78" s="17" t="n">
        <f aca="false">C78/B78</f>
        <v>0.0415584415584416</v>
      </c>
      <c r="E78" s="17" t="n">
        <f aca="false">IF(B78&gt;=$H$2,D78,"")</f>
        <v>0.0415584415584416</v>
      </c>
      <c r="F78" s="2"/>
      <c r="G78" s="2"/>
      <c r="H78" s="2"/>
    </row>
    <row r="79" customFormat="false" ht="15" hidden="false" customHeight="false" outlineLevel="0" collapsed="false">
      <c r="A79" s="5" t="s">
        <v>105</v>
      </c>
      <c r="B79" s="7" t="n">
        <v>74</v>
      </c>
      <c r="C79" s="7" t="n">
        <v>3</v>
      </c>
      <c r="D79" s="17" t="n">
        <f aca="false">C79/B79</f>
        <v>0.0405405405405405</v>
      </c>
      <c r="E79" s="17" t="n">
        <f aca="false">IF(B79&gt;=$H$2,D79,"")</f>
        <v>0.0405405405405405</v>
      </c>
      <c r="F79" s="2"/>
      <c r="G79" s="2"/>
      <c r="H79" s="2"/>
    </row>
    <row r="80" customFormat="false" ht="15" hidden="false" customHeight="false" outlineLevel="0" collapsed="false">
      <c r="A80" s="5" t="s">
        <v>60</v>
      </c>
      <c r="B80" s="7" t="n">
        <v>324</v>
      </c>
      <c r="C80" s="7" t="n">
        <v>13</v>
      </c>
      <c r="D80" s="17" t="n">
        <f aca="false">C80/B80</f>
        <v>0.0401234567901235</v>
      </c>
      <c r="E80" s="17" t="n">
        <f aca="false">IF(B80&gt;=$H$2,D80,"")</f>
        <v>0.0401234567901235</v>
      </c>
      <c r="F80" s="2"/>
      <c r="G80" s="2"/>
      <c r="H80" s="2"/>
    </row>
    <row r="81" customFormat="false" ht="15" hidden="false" customHeight="false" outlineLevel="0" collapsed="false">
      <c r="A81" s="5" t="s">
        <v>21</v>
      </c>
      <c r="B81" s="7" t="n">
        <v>1081</v>
      </c>
      <c r="C81" s="7" t="n">
        <v>43</v>
      </c>
      <c r="D81" s="17" t="n">
        <f aca="false">C81/B81</f>
        <v>0.0397779833487512</v>
      </c>
      <c r="E81" s="17" t="n">
        <f aca="false">IF(B81&gt;=$H$2,D81,"")</f>
        <v>0.0397779833487512</v>
      </c>
      <c r="F81" s="2"/>
      <c r="G81" s="2"/>
      <c r="H81" s="2"/>
    </row>
    <row r="82" customFormat="false" ht="15" hidden="false" customHeight="false" outlineLevel="0" collapsed="false">
      <c r="A82" s="5" t="s">
        <v>62</v>
      </c>
      <c r="B82" s="7" t="n">
        <v>333</v>
      </c>
      <c r="C82" s="7" t="n">
        <v>13</v>
      </c>
      <c r="D82" s="17" t="n">
        <f aca="false">C82/B82</f>
        <v>0.039039039039039</v>
      </c>
      <c r="E82" s="17" t="n">
        <f aca="false">IF(B82&gt;=$H$2,D82,"")</f>
        <v>0.039039039039039</v>
      </c>
      <c r="F82" s="2"/>
      <c r="G82" s="2"/>
      <c r="H82" s="2"/>
    </row>
    <row r="83" customFormat="false" ht="15" hidden="false" customHeight="false" outlineLevel="0" collapsed="false">
      <c r="A83" s="5" t="s">
        <v>66</v>
      </c>
      <c r="B83" s="7" t="n">
        <v>283</v>
      </c>
      <c r="C83" s="7" t="n">
        <v>11</v>
      </c>
      <c r="D83" s="17" t="n">
        <f aca="false">C83/B83</f>
        <v>0.03886925795053</v>
      </c>
      <c r="E83" s="17" t="n">
        <f aca="false">IF(B83&gt;=$H$2,D83,"")</f>
        <v>0.03886925795053</v>
      </c>
      <c r="F83" s="2"/>
      <c r="G83" s="2"/>
      <c r="H83" s="2"/>
    </row>
    <row r="84" customFormat="false" ht="15" hidden="false" customHeight="false" outlineLevel="0" collapsed="false">
      <c r="A84" s="5" t="s">
        <v>112</v>
      </c>
      <c r="B84" s="7" t="n">
        <v>79</v>
      </c>
      <c r="C84" s="7" t="n">
        <v>3</v>
      </c>
      <c r="D84" s="17" t="n">
        <f aca="false">C84/B84</f>
        <v>0.0379746835443038</v>
      </c>
      <c r="E84" s="17" t="n">
        <f aca="false">IF(B84&gt;=$H$2,D84,"")</f>
        <v>0.0379746835443038</v>
      </c>
      <c r="F84" s="2"/>
      <c r="G84" s="2"/>
      <c r="H84" s="2"/>
    </row>
    <row r="85" customFormat="false" ht="15" hidden="false" customHeight="false" outlineLevel="0" collapsed="false">
      <c r="A85" s="5" t="s">
        <v>41</v>
      </c>
      <c r="B85" s="7" t="n">
        <v>642</v>
      </c>
      <c r="C85" s="7" t="n">
        <v>24</v>
      </c>
      <c r="D85" s="17" t="n">
        <f aca="false">C85/B85</f>
        <v>0.0373831775700935</v>
      </c>
      <c r="E85" s="17" t="n">
        <f aca="false">IF(B85&gt;=$H$2,D85,"")</f>
        <v>0.0373831775700935</v>
      </c>
      <c r="F85" s="2"/>
      <c r="G85" s="2"/>
      <c r="H85" s="2"/>
    </row>
    <row r="86" customFormat="false" ht="15" hidden="false" customHeight="false" outlineLevel="0" collapsed="false">
      <c r="A86" s="5" t="s">
        <v>40</v>
      </c>
      <c r="B86" s="7" t="n">
        <v>647</v>
      </c>
      <c r="C86" s="7" t="n">
        <v>24</v>
      </c>
      <c r="D86" s="17" t="n">
        <f aca="false">C86/B86</f>
        <v>0.0370942812982998</v>
      </c>
      <c r="E86" s="17" t="n">
        <f aca="false">IF(B86&gt;=$H$2,D86,"")</f>
        <v>0.0370942812982998</v>
      </c>
      <c r="F86" s="2"/>
      <c r="G86" s="2"/>
      <c r="H86" s="2"/>
    </row>
    <row r="87" customFormat="false" ht="15" hidden="false" customHeight="false" outlineLevel="0" collapsed="false">
      <c r="A87" s="5" t="s">
        <v>125</v>
      </c>
      <c r="B87" s="7" t="n">
        <v>54</v>
      </c>
      <c r="C87" s="7" t="n">
        <v>2</v>
      </c>
      <c r="D87" s="17" t="n">
        <f aca="false">C87/B87</f>
        <v>0.037037037037037</v>
      </c>
      <c r="E87" s="17" t="n">
        <f aca="false">IF(B87&gt;=$H$2,D87,"")</f>
        <v>0.037037037037037</v>
      </c>
      <c r="F87" s="2"/>
      <c r="G87" s="2"/>
      <c r="H87" s="2"/>
    </row>
    <row r="88" customFormat="false" ht="15" hidden="false" customHeight="false" outlineLevel="0" collapsed="false">
      <c r="A88" s="5" t="s">
        <v>85</v>
      </c>
      <c r="B88" s="7" t="n">
        <v>192</v>
      </c>
      <c r="C88" s="7" t="n">
        <v>6</v>
      </c>
      <c r="D88" s="17" t="n">
        <f aca="false">C88/B88</f>
        <v>0.03125</v>
      </c>
      <c r="E88" s="17" t="n">
        <f aca="false">IF(B88&gt;=$H$2,D88,"")</f>
        <v>0.03125</v>
      </c>
      <c r="F88" s="2"/>
      <c r="G88" s="2"/>
      <c r="H88" s="2"/>
    </row>
    <row r="89" customFormat="false" ht="15" hidden="false" customHeight="false" outlineLevel="0" collapsed="false">
      <c r="A89" s="5" t="s">
        <v>101</v>
      </c>
      <c r="B89" s="7" t="n">
        <v>131</v>
      </c>
      <c r="C89" s="7" t="n">
        <v>4</v>
      </c>
      <c r="D89" s="17" t="n">
        <f aca="false">C89/B89</f>
        <v>0.0305343511450382</v>
      </c>
      <c r="E89" s="17" t="n">
        <f aca="false">IF(B89&gt;=$H$2,D89,"")</f>
        <v>0.0305343511450382</v>
      </c>
      <c r="F89" s="2"/>
      <c r="G89" s="2"/>
      <c r="H89" s="2"/>
    </row>
    <row r="90" customFormat="false" ht="15" hidden="false" customHeight="false" outlineLevel="0" collapsed="false">
      <c r="A90" s="5" t="s">
        <v>55</v>
      </c>
      <c r="B90" s="7" t="n">
        <v>510</v>
      </c>
      <c r="C90" s="7" t="n">
        <v>15</v>
      </c>
      <c r="D90" s="17" t="n">
        <f aca="false">C90/B90</f>
        <v>0.0294117647058824</v>
      </c>
      <c r="E90" s="17" t="n">
        <f aca="false">IF(B90&gt;=$H$2,D90,"")</f>
        <v>0.0294117647058824</v>
      </c>
      <c r="F90" s="2"/>
      <c r="G90" s="2"/>
      <c r="H90" s="2"/>
    </row>
    <row r="91" customFormat="false" ht="15" hidden="false" customHeight="false" outlineLevel="0" collapsed="false">
      <c r="A91" s="5" t="s">
        <v>98</v>
      </c>
      <c r="B91" s="7" t="n">
        <v>137</v>
      </c>
      <c r="C91" s="7" t="n">
        <v>4</v>
      </c>
      <c r="D91" s="17" t="n">
        <f aca="false">C91/B91</f>
        <v>0.0291970802919708</v>
      </c>
      <c r="E91" s="17" t="n">
        <f aca="false">IF(B91&gt;=$H$2,D91,"")</f>
        <v>0.0291970802919708</v>
      </c>
      <c r="F91" s="2"/>
      <c r="G91" s="2"/>
      <c r="H91" s="2"/>
    </row>
    <row r="92" customFormat="false" ht="15" hidden="false" customHeight="false" outlineLevel="0" collapsed="false">
      <c r="A92" s="5" t="s">
        <v>90</v>
      </c>
      <c r="B92" s="7" t="n">
        <v>172</v>
      </c>
      <c r="C92" s="7" t="n">
        <v>5</v>
      </c>
      <c r="D92" s="17" t="n">
        <f aca="false">C92/B92</f>
        <v>0.0290697674418605</v>
      </c>
      <c r="E92" s="17" t="n">
        <f aca="false">IF(B92&gt;=$H$2,D92,"")</f>
        <v>0.0290697674418605</v>
      </c>
      <c r="F92" s="2"/>
      <c r="G92" s="2"/>
      <c r="H92" s="2"/>
    </row>
    <row r="93" customFormat="false" ht="15" hidden="false" customHeight="false" outlineLevel="0" collapsed="false">
      <c r="A93" s="5" t="s">
        <v>23</v>
      </c>
      <c r="B93" s="7" t="n">
        <v>1511</v>
      </c>
      <c r="C93" s="7" t="n">
        <v>43</v>
      </c>
      <c r="D93" s="17" t="n">
        <f aca="false">C93/B93</f>
        <v>0.028457974851092</v>
      </c>
      <c r="E93" s="17" t="n">
        <f aca="false">IF(B93&gt;=$H$2,D93,"")</f>
        <v>0.028457974851092</v>
      </c>
      <c r="F93" s="2"/>
      <c r="G93" s="2"/>
      <c r="H93" s="2"/>
    </row>
    <row r="94" customFormat="false" ht="15" hidden="false" customHeight="false" outlineLevel="0" collapsed="false">
      <c r="A94" s="5" t="s">
        <v>47</v>
      </c>
      <c r="B94" s="7" t="n">
        <v>640</v>
      </c>
      <c r="C94" s="7" t="n">
        <v>18</v>
      </c>
      <c r="D94" s="17" t="n">
        <f aca="false">C94/B94</f>
        <v>0.028125</v>
      </c>
      <c r="E94" s="17" t="n">
        <f aca="false">IF(B94&gt;=$H$2,D94,"")</f>
        <v>0.028125</v>
      </c>
      <c r="F94" s="2"/>
      <c r="G94" s="2"/>
      <c r="H94" s="2"/>
    </row>
    <row r="95" customFormat="false" ht="15" hidden="false" customHeight="false" outlineLevel="0" collapsed="false">
      <c r="A95" s="5" t="s">
        <v>100</v>
      </c>
      <c r="B95" s="7" t="n">
        <v>154</v>
      </c>
      <c r="C95" s="7" t="n">
        <v>4</v>
      </c>
      <c r="D95" s="17" t="n">
        <f aca="false">C95/B95</f>
        <v>0.025974025974026</v>
      </c>
      <c r="E95" s="17" t="n">
        <f aca="false">IF(B95&gt;=$H$2,D95,"")</f>
        <v>0.025974025974026</v>
      </c>
      <c r="F95" s="2"/>
      <c r="G95" s="2"/>
      <c r="H95" s="2"/>
    </row>
    <row r="96" customFormat="false" ht="15" hidden="false" customHeight="false" outlineLevel="0" collapsed="false">
      <c r="A96" s="5" t="s">
        <v>43</v>
      </c>
      <c r="B96" s="7" t="n">
        <v>946</v>
      </c>
      <c r="C96" s="7" t="n">
        <v>23</v>
      </c>
      <c r="D96" s="17" t="n">
        <f aca="false">C96/B96</f>
        <v>0.0243128964059197</v>
      </c>
      <c r="E96" s="17" t="n">
        <f aca="false">IF(B96&gt;=$H$2,D96,"")</f>
        <v>0.0243128964059197</v>
      </c>
      <c r="F96" s="2"/>
      <c r="G96" s="2"/>
      <c r="H96" s="2"/>
    </row>
    <row r="97" customFormat="false" ht="15" hidden="false" customHeight="false" outlineLevel="0" collapsed="false">
      <c r="A97" s="5" t="s">
        <v>121</v>
      </c>
      <c r="B97" s="7" t="n">
        <v>86</v>
      </c>
      <c r="C97" s="7" t="n">
        <v>2</v>
      </c>
      <c r="D97" s="17" t="n">
        <f aca="false">C97/B97</f>
        <v>0.0232558139534884</v>
      </c>
      <c r="E97" s="17" t="n">
        <f aca="false">IF(B97&gt;=$H$2,D97,"")</f>
        <v>0.0232558139534884</v>
      </c>
      <c r="F97" s="2"/>
      <c r="G97" s="2"/>
      <c r="H97" s="2"/>
    </row>
    <row r="98" customFormat="false" ht="15" hidden="false" customHeight="false" outlineLevel="0" collapsed="false">
      <c r="A98" s="5" t="s">
        <v>86</v>
      </c>
      <c r="B98" s="7" t="n">
        <v>258</v>
      </c>
      <c r="C98" s="7" t="n">
        <v>6</v>
      </c>
      <c r="D98" s="17" t="n">
        <f aca="false">C98/B98</f>
        <v>0.0232558139534884</v>
      </c>
      <c r="E98" s="17" t="n">
        <f aca="false">IF(B98&gt;=$H$2,D98,"")</f>
        <v>0.0232558139534884</v>
      </c>
      <c r="F98" s="2"/>
      <c r="G98" s="2"/>
      <c r="H98" s="2"/>
    </row>
    <row r="99" customFormat="false" ht="15" hidden="false" customHeight="false" outlineLevel="0" collapsed="false">
      <c r="A99" s="5" t="s">
        <v>71</v>
      </c>
      <c r="B99" s="7" t="n">
        <v>432</v>
      </c>
      <c r="C99" s="7" t="n">
        <v>10</v>
      </c>
      <c r="D99" s="17" t="n">
        <f aca="false">C99/B99</f>
        <v>0.0231481481481481</v>
      </c>
      <c r="E99" s="17" t="n">
        <f aca="false">IF(B99&gt;=$H$2,D99,"")</f>
        <v>0.0231481481481481</v>
      </c>
      <c r="F99" s="2"/>
      <c r="G99" s="2"/>
      <c r="H99" s="2"/>
    </row>
    <row r="100" customFormat="false" ht="15" hidden="false" customHeight="false" outlineLevel="0" collapsed="false">
      <c r="A100" s="5" t="s">
        <v>111</v>
      </c>
      <c r="B100" s="7" t="n">
        <v>137</v>
      </c>
      <c r="C100" s="7" t="n">
        <v>3</v>
      </c>
      <c r="D100" s="17" t="n">
        <f aca="false">C100/B100</f>
        <v>0.0218978102189781</v>
      </c>
      <c r="E100" s="17" t="n">
        <f aca="false">IF(B100&gt;=$H$2,D100,"")</f>
        <v>0.0218978102189781</v>
      </c>
      <c r="F100" s="2"/>
      <c r="G100" s="2"/>
      <c r="H100" s="2"/>
    </row>
    <row r="101" customFormat="false" ht="15" hidden="false" customHeight="false" outlineLevel="0" collapsed="false">
      <c r="A101" s="5" t="s">
        <v>103</v>
      </c>
      <c r="B101" s="7" t="n">
        <v>184</v>
      </c>
      <c r="C101" s="7" t="n">
        <v>4</v>
      </c>
      <c r="D101" s="17" t="n">
        <f aca="false">C101/B101</f>
        <v>0.0217391304347826</v>
      </c>
      <c r="E101" s="17" t="n">
        <f aca="false">IF(B101&gt;=$H$2,D101,"")</f>
        <v>0.0217391304347826</v>
      </c>
      <c r="F101" s="2"/>
      <c r="G101" s="2"/>
      <c r="H101" s="2"/>
    </row>
    <row r="102" customFormat="false" ht="15" hidden="false" customHeight="false" outlineLevel="0" collapsed="false">
      <c r="A102" s="5" t="s">
        <v>115</v>
      </c>
      <c r="B102" s="7" t="n">
        <v>93</v>
      </c>
      <c r="C102" s="7" t="n">
        <v>2</v>
      </c>
      <c r="D102" s="17" t="n">
        <f aca="false">C102/B102</f>
        <v>0.021505376344086</v>
      </c>
      <c r="E102" s="17" t="n">
        <f aca="false">IF(B102&gt;=$H$2,D102,"")</f>
        <v>0.021505376344086</v>
      </c>
      <c r="F102" s="2"/>
      <c r="G102" s="2"/>
      <c r="H102" s="2"/>
    </row>
    <row r="103" customFormat="false" ht="15" hidden="false" customHeight="false" outlineLevel="0" collapsed="false">
      <c r="A103" s="5" t="s">
        <v>68</v>
      </c>
      <c r="B103" s="7" t="n">
        <v>552</v>
      </c>
      <c r="C103" s="7" t="n">
        <v>11</v>
      </c>
      <c r="D103" s="17" t="n">
        <f aca="false">C103/B103</f>
        <v>0.0199275362318841</v>
      </c>
      <c r="E103" s="17" t="n">
        <f aca="false">IF(B103&gt;=$H$2,D103,"")</f>
        <v>0.0199275362318841</v>
      </c>
      <c r="F103" s="2"/>
      <c r="G103" s="2"/>
      <c r="H103" s="2"/>
    </row>
    <row r="104" customFormat="false" ht="15" hidden="false" customHeight="false" outlineLevel="0" collapsed="false">
      <c r="A104" s="5" t="s">
        <v>120</v>
      </c>
      <c r="B104" s="7" t="n">
        <v>104</v>
      </c>
      <c r="C104" s="7" t="n">
        <v>2</v>
      </c>
      <c r="D104" s="17" t="n">
        <f aca="false">C104/B104</f>
        <v>0.0192307692307692</v>
      </c>
      <c r="E104" s="17" t="n">
        <f aca="false">IF(B104&gt;=$H$2,D104,"")</f>
        <v>0.0192307692307692</v>
      </c>
      <c r="F104" s="2"/>
      <c r="G104" s="2"/>
      <c r="H104" s="2"/>
    </row>
    <row r="105" customFormat="false" ht="15" hidden="false" customHeight="false" outlineLevel="0" collapsed="false">
      <c r="A105" s="5" t="s">
        <v>102</v>
      </c>
      <c r="B105" s="7" t="n">
        <v>226</v>
      </c>
      <c r="C105" s="7" t="n">
        <v>4</v>
      </c>
      <c r="D105" s="17" t="n">
        <f aca="false">C105/B105</f>
        <v>0.0176991150442478</v>
      </c>
      <c r="E105" s="17" t="n">
        <f aca="false">IF(B105&gt;=$H$2,D105,"")</f>
        <v>0.0176991150442478</v>
      </c>
      <c r="F105" s="2"/>
      <c r="G105" s="2"/>
      <c r="H105" s="2"/>
    </row>
    <row r="106" customFormat="false" ht="15" hidden="false" customHeight="false" outlineLevel="0" collapsed="false">
      <c r="A106" s="5" t="s">
        <v>57</v>
      </c>
      <c r="B106" s="7" t="n">
        <v>799</v>
      </c>
      <c r="C106" s="7" t="n">
        <v>14</v>
      </c>
      <c r="D106" s="17" t="n">
        <f aca="false">C106/B106</f>
        <v>0.0175219023779725</v>
      </c>
      <c r="E106" s="17" t="n">
        <f aca="false">IF(B106&gt;=$H$2,D106,"")</f>
        <v>0.0175219023779725</v>
      </c>
      <c r="F106" s="2"/>
      <c r="G106" s="2"/>
      <c r="H106" s="2"/>
    </row>
    <row r="107" customFormat="false" ht="15" hidden="false" customHeight="false" outlineLevel="0" collapsed="false">
      <c r="A107" s="5" t="s">
        <v>80</v>
      </c>
      <c r="B107" s="7" t="n">
        <v>410</v>
      </c>
      <c r="C107" s="7" t="n">
        <v>7</v>
      </c>
      <c r="D107" s="17" t="n">
        <f aca="false">C107/B107</f>
        <v>0.0170731707317073</v>
      </c>
      <c r="E107" s="17" t="n">
        <f aca="false">IF(B107&gt;=$H$2,D107,"")</f>
        <v>0.0170731707317073</v>
      </c>
      <c r="F107" s="2"/>
      <c r="G107" s="2"/>
      <c r="H107" s="2"/>
    </row>
    <row r="108" customFormat="false" ht="15" hidden="false" customHeight="false" outlineLevel="0" collapsed="false">
      <c r="A108" s="5" t="s">
        <v>64</v>
      </c>
      <c r="B108" s="7" t="n">
        <v>721</v>
      </c>
      <c r="C108" s="7" t="n">
        <v>12</v>
      </c>
      <c r="D108" s="17" t="n">
        <f aca="false">C108/B108</f>
        <v>0.0166435506241331</v>
      </c>
      <c r="E108" s="17" t="n">
        <f aca="false">IF(B108&gt;=$H$2,D108,"")</f>
        <v>0.0166435506241331</v>
      </c>
      <c r="F108" s="2"/>
      <c r="G108" s="2"/>
      <c r="H108" s="2"/>
    </row>
    <row r="109" customFormat="false" ht="15" hidden="false" customHeight="false" outlineLevel="0" collapsed="false">
      <c r="A109" s="5" t="s">
        <v>119</v>
      </c>
      <c r="B109" s="7" t="n">
        <v>126</v>
      </c>
      <c r="C109" s="7" t="n">
        <v>2</v>
      </c>
      <c r="D109" s="17" t="n">
        <f aca="false">C109/B109</f>
        <v>0.0158730158730159</v>
      </c>
      <c r="E109" s="17" t="n">
        <f aca="false">IF(B109&gt;=$H$2,D109,"")</f>
        <v>0.0158730158730159</v>
      </c>
      <c r="F109" s="2"/>
      <c r="G109" s="2"/>
      <c r="H109" s="2"/>
    </row>
    <row r="110" customFormat="false" ht="15" hidden="false" customHeight="false" outlineLevel="0" collapsed="false">
      <c r="A110" s="5" t="s">
        <v>135</v>
      </c>
      <c r="B110" s="7" t="n">
        <v>66</v>
      </c>
      <c r="C110" s="7" t="n">
        <v>1</v>
      </c>
      <c r="D110" s="17" t="n">
        <f aca="false">C110/B110</f>
        <v>0.0151515151515152</v>
      </c>
      <c r="E110" s="17" t="n">
        <f aca="false">IF(B110&gt;=$H$2,D110,"")</f>
        <v>0.0151515151515152</v>
      </c>
      <c r="F110" s="2"/>
      <c r="G110" s="2"/>
      <c r="H110" s="2"/>
    </row>
    <row r="111" customFormat="false" ht="15" hidden="false" customHeight="false" outlineLevel="0" collapsed="false">
      <c r="A111" s="5" t="s">
        <v>139</v>
      </c>
      <c r="B111" s="7" t="n">
        <v>73</v>
      </c>
      <c r="C111" s="7" t="n">
        <v>1</v>
      </c>
      <c r="D111" s="17" t="n">
        <f aca="false">C111/B111</f>
        <v>0.0136986301369863</v>
      </c>
      <c r="E111" s="17" t="n">
        <f aca="false">IF(B111&gt;=$H$2,D111,"")</f>
        <v>0.0136986301369863</v>
      </c>
      <c r="F111" s="2"/>
      <c r="G111" s="2"/>
      <c r="H111" s="2"/>
    </row>
    <row r="112" customFormat="false" ht="15" hidden="false" customHeight="false" outlineLevel="0" collapsed="false">
      <c r="A112" s="5" t="s">
        <v>118</v>
      </c>
      <c r="B112" s="7" t="n">
        <v>161</v>
      </c>
      <c r="C112" s="7" t="n">
        <v>2</v>
      </c>
      <c r="D112" s="17" t="n">
        <f aca="false">C112/B112</f>
        <v>0.0124223602484472</v>
      </c>
      <c r="E112" s="17" t="n">
        <f aca="false">IF(B112&gt;=$H$2,D112,"")</f>
        <v>0.0124223602484472</v>
      </c>
      <c r="F112" s="2"/>
      <c r="G112" s="2"/>
      <c r="H112" s="2"/>
    </row>
    <row r="113" customFormat="false" ht="15" hidden="false" customHeight="false" outlineLevel="0" collapsed="false">
      <c r="A113" s="5" t="s">
        <v>131</v>
      </c>
      <c r="B113" s="7" t="n">
        <v>87</v>
      </c>
      <c r="C113" s="7" t="n">
        <v>1</v>
      </c>
      <c r="D113" s="17" t="n">
        <f aca="false">C113/B113</f>
        <v>0.0114942528735632</v>
      </c>
      <c r="E113" s="17" t="n">
        <f aca="false">IF(B113&gt;=$H$2,D113,"")</f>
        <v>0.0114942528735632</v>
      </c>
      <c r="F113" s="2"/>
      <c r="G113" s="2"/>
      <c r="H113" s="2"/>
    </row>
    <row r="114" customFormat="false" ht="15" hidden="false" customHeight="false" outlineLevel="0" collapsed="false">
      <c r="A114" s="5" t="s">
        <v>127</v>
      </c>
      <c r="B114" s="7" t="n">
        <v>93</v>
      </c>
      <c r="C114" s="7" t="n">
        <v>1</v>
      </c>
      <c r="D114" s="17" t="n">
        <f aca="false">C114/B114</f>
        <v>0.010752688172043</v>
      </c>
      <c r="E114" s="17" t="n">
        <f aca="false">IF(B114&gt;=$H$2,D114,"")</f>
        <v>0.010752688172043</v>
      </c>
      <c r="F114" s="2"/>
      <c r="G114" s="2"/>
      <c r="H114" s="2"/>
    </row>
    <row r="115" customFormat="false" ht="15" hidden="false" customHeight="false" outlineLevel="0" collapsed="false">
      <c r="A115" s="5" t="s">
        <v>114</v>
      </c>
      <c r="B115" s="7" t="n">
        <v>216</v>
      </c>
      <c r="C115" s="7" t="n">
        <v>2</v>
      </c>
      <c r="D115" s="17" t="n">
        <f aca="false">C115/B115</f>
        <v>0.00925925925925926</v>
      </c>
      <c r="E115" s="17" t="n">
        <f aca="false">IF(B115&gt;=$H$2,D115,"")</f>
        <v>0.00925925925925926</v>
      </c>
      <c r="F115" s="2"/>
      <c r="G115" s="2"/>
      <c r="H115" s="2"/>
    </row>
    <row r="116" customFormat="false" ht="15" hidden="false" customHeight="false" outlineLevel="0" collapsed="false">
      <c r="A116" s="5" t="s">
        <v>116</v>
      </c>
      <c r="B116" s="7" t="n">
        <v>220</v>
      </c>
      <c r="C116" s="7" t="n">
        <v>2</v>
      </c>
      <c r="D116" s="17" t="n">
        <f aca="false">C116/B116</f>
        <v>0.00909090909090909</v>
      </c>
      <c r="E116" s="17" t="n">
        <f aca="false">IF(B116&gt;=$H$2,D116,"")</f>
        <v>0.00909090909090909</v>
      </c>
      <c r="F116" s="2"/>
      <c r="G116" s="2"/>
      <c r="H116" s="2"/>
    </row>
    <row r="117" customFormat="false" ht="15" hidden="false" customHeight="false" outlineLevel="0" collapsed="false">
      <c r="A117" s="5" t="s">
        <v>138</v>
      </c>
      <c r="B117" s="7" t="n">
        <v>117</v>
      </c>
      <c r="C117" s="7" t="n">
        <v>1</v>
      </c>
      <c r="D117" s="17" t="n">
        <f aca="false">C117/B117</f>
        <v>0.00854700854700855</v>
      </c>
      <c r="E117" s="17" t="n">
        <f aca="false">IF(B117&gt;=$H$2,D117,"")</f>
        <v>0.00854700854700855</v>
      </c>
      <c r="F117" s="2"/>
      <c r="G117" s="2"/>
      <c r="H117" s="2"/>
    </row>
    <row r="118" customFormat="false" ht="15" hidden="false" customHeight="false" outlineLevel="0" collapsed="false">
      <c r="A118" s="5" t="s">
        <v>104</v>
      </c>
      <c r="B118" s="7" t="n">
        <v>354</v>
      </c>
      <c r="C118" s="7" t="n">
        <v>3</v>
      </c>
      <c r="D118" s="17" t="n">
        <f aca="false">C118/B118</f>
        <v>0.00847457627118644</v>
      </c>
      <c r="E118" s="17" t="n">
        <f aca="false">IF(B118&gt;=$H$2,D118,"")</f>
        <v>0.00847457627118644</v>
      </c>
      <c r="F118" s="2"/>
      <c r="G118" s="2"/>
      <c r="H118" s="2"/>
    </row>
    <row r="119" customFormat="false" ht="15" hidden="false" customHeight="false" outlineLevel="0" collapsed="false">
      <c r="A119" s="5" t="s">
        <v>78</v>
      </c>
      <c r="B119" s="7" t="n">
        <v>1022</v>
      </c>
      <c r="C119" s="7" t="n">
        <v>7</v>
      </c>
      <c r="D119" s="17" t="n">
        <f aca="false">C119/B119</f>
        <v>0.00684931506849315</v>
      </c>
      <c r="E119" s="17" t="n">
        <f aca="false">IF(B119&gt;=$H$2,D119,"")</f>
        <v>0.00684931506849315</v>
      </c>
      <c r="F119" s="2"/>
      <c r="G119" s="2"/>
      <c r="H119" s="2"/>
    </row>
    <row r="120" customFormat="false" ht="15" hidden="false" customHeight="false" outlineLevel="0" collapsed="false">
      <c r="A120" s="5" t="s">
        <v>128</v>
      </c>
      <c r="B120" s="7" t="n">
        <v>147</v>
      </c>
      <c r="C120" s="7" t="n">
        <v>1</v>
      </c>
      <c r="D120" s="17" t="n">
        <f aca="false">C120/B120</f>
        <v>0.00680272108843537</v>
      </c>
      <c r="E120" s="17" t="n">
        <f aca="false">IF(B120&gt;=$H$2,D120,"")</f>
        <v>0.00680272108843537</v>
      </c>
      <c r="F120" s="2"/>
      <c r="G120" s="2"/>
      <c r="H120" s="2"/>
    </row>
    <row r="121" customFormat="false" ht="15" hidden="false" customHeight="false" outlineLevel="0" collapsed="false">
      <c r="A121" s="5" t="s">
        <v>133</v>
      </c>
      <c r="B121" s="7" t="n">
        <v>155</v>
      </c>
      <c r="C121" s="7" t="n">
        <v>1</v>
      </c>
      <c r="D121" s="17" t="n">
        <f aca="false">C121/B121</f>
        <v>0.00645161290322581</v>
      </c>
      <c r="E121" s="17" t="n">
        <f aca="false">IF(B121&gt;=$H$2,D121,"")</f>
        <v>0.00645161290322581</v>
      </c>
      <c r="F121" s="2"/>
      <c r="G121" s="2"/>
      <c r="H121" s="2"/>
    </row>
    <row r="122" customFormat="false" ht="15" hidden="false" customHeight="false" outlineLevel="0" collapsed="false">
      <c r="A122" s="5" t="s">
        <v>94</v>
      </c>
      <c r="B122" s="7" t="n">
        <v>832</v>
      </c>
      <c r="C122" s="7" t="n">
        <v>5</v>
      </c>
      <c r="D122" s="17" t="n">
        <f aca="false">C122/B122</f>
        <v>0.00600961538461539</v>
      </c>
      <c r="E122" s="17" t="n">
        <f aca="false">IF(B122&gt;=$H$2,D122,"")</f>
        <v>0.00600961538461539</v>
      </c>
      <c r="F122" s="2"/>
      <c r="G122" s="2"/>
      <c r="H122" s="2"/>
    </row>
    <row r="123" customFormat="false" ht="15" hidden="false" customHeight="false" outlineLevel="0" collapsed="false">
      <c r="A123" s="5" t="s">
        <v>117</v>
      </c>
      <c r="B123" s="7" t="n">
        <v>420</v>
      </c>
      <c r="C123" s="7" t="n">
        <v>2</v>
      </c>
      <c r="D123" s="17" t="n">
        <f aca="false">C123/B123</f>
        <v>0.00476190476190476</v>
      </c>
      <c r="E123" s="17" t="n">
        <f aca="false">IF(B123&gt;=$H$2,D123,"")</f>
        <v>0.00476190476190476</v>
      </c>
      <c r="F123" s="2"/>
      <c r="G123" s="2"/>
      <c r="H123" s="2"/>
    </row>
    <row r="124" customFormat="false" ht="15" hidden="false" customHeight="false" outlineLevel="0" collapsed="false">
      <c r="A124" s="5" t="s">
        <v>91</v>
      </c>
      <c r="B124" s="7" t="n">
        <v>1065</v>
      </c>
      <c r="C124" s="7" t="n">
        <v>5</v>
      </c>
      <c r="D124" s="17" t="n">
        <f aca="false">C124/B124</f>
        <v>0.00469483568075117</v>
      </c>
      <c r="E124" s="17" t="n">
        <f aca="false">IF(B124&gt;=$H$2,D124,"")</f>
        <v>0.00469483568075117</v>
      </c>
      <c r="F124" s="2"/>
      <c r="G124" s="2"/>
      <c r="H124" s="2"/>
    </row>
    <row r="125" customFormat="false" ht="15" hidden="false" customHeight="false" outlineLevel="0" collapsed="false">
      <c r="A125" s="5" t="s">
        <v>97</v>
      </c>
      <c r="B125" s="7" t="n">
        <v>1128</v>
      </c>
      <c r="C125" s="7" t="n">
        <v>5</v>
      </c>
      <c r="D125" s="17" t="n">
        <f aca="false">C125/B125</f>
        <v>0.00443262411347518</v>
      </c>
      <c r="E125" s="17" t="n">
        <f aca="false">IF(B125&gt;=$H$2,D125,"")</f>
        <v>0.00443262411347518</v>
      </c>
      <c r="F125" s="2"/>
      <c r="G125" s="2"/>
      <c r="H125" s="2"/>
    </row>
    <row r="126" customFormat="false" ht="15" hidden="false" customHeight="false" outlineLevel="0" collapsed="false">
      <c r="A126" s="5" t="s">
        <v>142</v>
      </c>
      <c r="B126" s="7" t="n">
        <v>324</v>
      </c>
      <c r="C126" s="7" t="n">
        <v>1</v>
      </c>
      <c r="D126" s="17" t="n">
        <f aca="false">C126/B126</f>
        <v>0.00308641975308642</v>
      </c>
      <c r="E126" s="17" t="n">
        <f aca="false">IF(B126&gt;=$H$2,D126,"")</f>
        <v>0.00308641975308642</v>
      </c>
      <c r="F126" s="2"/>
      <c r="G126" s="2"/>
      <c r="H126" s="2"/>
    </row>
    <row r="127" customFormat="false" ht="15" hidden="false" customHeight="false" outlineLevel="0" collapsed="false">
      <c r="A127" s="5" t="s">
        <v>143</v>
      </c>
      <c r="B127" s="7" t="n">
        <v>52</v>
      </c>
      <c r="C127" s="7" t="n">
        <v>0</v>
      </c>
      <c r="D127" s="17" t="n">
        <f aca="false">C127/B127</f>
        <v>0</v>
      </c>
      <c r="E127" s="17" t="n">
        <f aca="false">IF(B127&gt;=$H$2,D127,"")</f>
        <v>0</v>
      </c>
      <c r="F127" s="2"/>
      <c r="G127" s="2"/>
      <c r="H127" s="2"/>
    </row>
    <row r="128" customFormat="false" ht="15" hidden="false" customHeight="false" outlineLevel="0" collapsed="false">
      <c r="A128" s="5" t="s">
        <v>145</v>
      </c>
      <c r="B128" s="7" t="n">
        <v>27</v>
      </c>
      <c r="C128" s="7" t="n">
        <v>0</v>
      </c>
      <c r="D128" s="17" t="n">
        <f aca="false">C128/B128</f>
        <v>0</v>
      </c>
      <c r="E128" s="17" t="n">
        <f aca="false">IF(B128&gt;=$H$2,D128,"")</f>
        <v>0</v>
      </c>
      <c r="F128" s="2"/>
      <c r="G128" s="2"/>
      <c r="H128" s="2"/>
    </row>
    <row r="129" customFormat="false" ht="15" hidden="false" customHeight="false" outlineLevel="0" collapsed="false">
      <c r="A129" s="5" t="s">
        <v>146</v>
      </c>
      <c r="B129" s="7" t="n">
        <v>164</v>
      </c>
      <c r="C129" s="7" t="n">
        <v>0</v>
      </c>
      <c r="D129" s="17" t="n">
        <f aca="false">C129/B129</f>
        <v>0</v>
      </c>
      <c r="E129" s="17" t="n">
        <f aca="false">IF(B129&gt;=$H$2,D129,"")</f>
        <v>0</v>
      </c>
      <c r="F129" s="2"/>
      <c r="G129" s="2"/>
      <c r="H129" s="2"/>
    </row>
    <row r="130" customFormat="false" ht="15" hidden="false" customHeight="false" outlineLevel="0" collapsed="false">
      <c r="A130" s="5" t="s">
        <v>147</v>
      </c>
      <c r="B130" s="7" t="n">
        <v>7</v>
      </c>
      <c r="C130" s="7" t="n">
        <v>0</v>
      </c>
      <c r="D130" s="17" t="n">
        <f aca="false">C130/B130</f>
        <v>0</v>
      </c>
      <c r="E130" s="17" t="str">
        <f aca="false">IF(B130&gt;=$H$2,D130,"")</f>
        <v/>
      </c>
      <c r="F130" s="2"/>
      <c r="G130" s="2"/>
      <c r="H130" s="2"/>
    </row>
    <row r="131" customFormat="false" ht="15" hidden="false" customHeight="false" outlineLevel="0" collapsed="false">
      <c r="A131" s="5" t="s">
        <v>148</v>
      </c>
      <c r="B131" s="7" t="n">
        <v>24</v>
      </c>
      <c r="C131" s="7" t="n">
        <v>0</v>
      </c>
      <c r="D131" s="17" t="n">
        <f aca="false">C131/B131</f>
        <v>0</v>
      </c>
      <c r="E131" s="17" t="n">
        <f aca="false">IF(B131&gt;=$H$2,D131,"")</f>
        <v>0</v>
      </c>
      <c r="F131" s="2"/>
      <c r="G131" s="2"/>
      <c r="H131" s="2"/>
    </row>
    <row r="132" customFormat="false" ht="15" hidden="false" customHeight="false" outlineLevel="0" collapsed="false">
      <c r="A132" s="5" t="s">
        <v>149</v>
      </c>
      <c r="B132" s="7" t="n">
        <v>27</v>
      </c>
      <c r="C132" s="7" t="n">
        <v>0</v>
      </c>
      <c r="D132" s="17" t="n">
        <f aca="false">C132/B132</f>
        <v>0</v>
      </c>
      <c r="E132" s="17" t="n">
        <f aca="false">IF(B132&gt;=$H$2,D132,"")</f>
        <v>0</v>
      </c>
      <c r="F132" s="2"/>
      <c r="G132" s="2"/>
      <c r="H132" s="2"/>
    </row>
    <row r="133" customFormat="false" ht="15" hidden="false" customHeight="false" outlineLevel="0" collapsed="false">
      <c r="A133" s="5" t="s">
        <v>150</v>
      </c>
      <c r="B133" s="7" t="n">
        <v>15</v>
      </c>
      <c r="C133" s="7" t="n">
        <v>0</v>
      </c>
      <c r="D133" s="17" t="n">
        <f aca="false">C133/B133</f>
        <v>0</v>
      </c>
      <c r="E133" s="17" t="str">
        <f aca="false">IF(B133&gt;=$H$2,D133,"")</f>
        <v/>
      </c>
      <c r="F133" s="2"/>
      <c r="G133" s="2"/>
      <c r="H133" s="2"/>
    </row>
    <row r="134" customFormat="false" ht="15" hidden="false" customHeight="false" outlineLevel="0" collapsed="false">
      <c r="A134" s="5" t="s">
        <v>151</v>
      </c>
      <c r="B134" s="7" t="n">
        <v>29</v>
      </c>
      <c r="C134" s="7" t="n">
        <v>0</v>
      </c>
      <c r="D134" s="17" t="n">
        <f aca="false">C134/B134</f>
        <v>0</v>
      </c>
      <c r="E134" s="17" t="n">
        <f aca="false">IF(B134&gt;=$H$2,D134,"")</f>
        <v>0</v>
      </c>
      <c r="F134" s="2"/>
      <c r="G134" s="2"/>
      <c r="H134" s="2"/>
    </row>
    <row r="135" customFormat="false" ht="15" hidden="false" customHeight="false" outlineLevel="0" collapsed="false">
      <c r="A135" s="5" t="s">
        <v>152</v>
      </c>
      <c r="B135" s="7" t="n">
        <v>302</v>
      </c>
      <c r="C135" s="7" t="n">
        <v>0</v>
      </c>
      <c r="D135" s="17" t="n">
        <f aca="false">C135/B135</f>
        <v>0</v>
      </c>
      <c r="E135" s="17" t="n">
        <f aca="false">IF(B135&gt;=$H$2,D135,"")</f>
        <v>0</v>
      </c>
      <c r="F135" s="2"/>
      <c r="G135" s="2"/>
      <c r="H135" s="2"/>
    </row>
    <row r="136" customFormat="false" ht="15" hidden="false" customHeight="false" outlineLevel="0" collapsed="false">
      <c r="A136" s="5" t="s">
        <v>153</v>
      </c>
      <c r="B136" s="7" t="n">
        <v>115</v>
      </c>
      <c r="C136" s="7" t="n">
        <v>0</v>
      </c>
      <c r="D136" s="17" t="n">
        <f aca="false">C136/B136</f>
        <v>0</v>
      </c>
      <c r="E136" s="17" t="n">
        <f aca="false">IF(B136&gt;=$H$2,D136,"")</f>
        <v>0</v>
      </c>
      <c r="F136" s="2"/>
      <c r="G136" s="2"/>
      <c r="H136" s="2"/>
    </row>
    <row r="137" customFormat="false" ht="15" hidden="false" customHeight="false" outlineLevel="0" collapsed="false">
      <c r="A137" s="5" t="s">
        <v>154</v>
      </c>
      <c r="B137" s="7" t="n">
        <v>19</v>
      </c>
      <c r="C137" s="7" t="n">
        <v>0</v>
      </c>
      <c r="D137" s="17" t="n">
        <f aca="false">C137/B137</f>
        <v>0</v>
      </c>
      <c r="E137" s="17" t="str">
        <f aca="false">IF(B137&gt;=$H$2,D137,"")</f>
        <v/>
      </c>
      <c r="F137" s="2"/>
      <c r="G137" s="2"/>
      <c r="H137" s="2"/>
    </row>
    <row r="138" customFormat="false" ht="15" hidden="false" customHeight="false" outlineLevel="0" collapsed="false">
      <c r="A138" s="5" t="s">
        <v>155</v>
      </c>
      <c r="B138" s="7" t="n">
        <v>16</v>
      </c>
      <c r="C138" s="7" t="n">
        <v>0</v>
      </c>
      <c r="D138" s="17" t="n">
        <f aca="false">C138/B138</f>
        <v>0</v>
      </c>
      <c r="E138" s="17" t="str">
        <f aca="false">IF(B138&gt;=$H$2,D138,"")</f>
        <v/>
      </c>
      <c r="F138" s="2"/>
      <c r="G138" s="2"/>
      <c r="H138" s="2"/>
    </row>
    <row r="139" customFormat="false" ht="15" hidden="false" customHeight="false" outlineLevel="0" collapsed="false">
      <c r="A139" s="5" t="s">
        <v>156</v>
      </c>
      <c r="B139" s="7" t="n">
        <v>34</v>
      </c>
      <c r="C139" s="7" t="n">
        <v>0</v>
      </c>
      <c r="D139" s="17" t="n">
        <f aca="false">C139/B139</f>
        <v>0</v>
      </c>
      <c r="E139" s="17" t="n">
        <f aca="false">IF(B139&gt;=$H$2,D139,"")</f>
        <v>0</v>
      </c>
      <c r="F139" s="2"/>
      <c r="G139" s="2"/>
      <c r="H139" s="2"/>
    </row>
    <row r="140" customFormat="false" ht="15" hidden="false" customHeight="false" outlineLevel="0" collapsed="false">
      <c r="A140" s="5" t="s">
        <v>157</v>
      </c>
      <c r="B140" s="7" t="n">
        <v>1051</v>
      </c>
      <c r="C140" s="7" t="n">
        <v>0</v>
      </c>
      <c r="D140" s="17" t="n">
        <f aca="false">C140/B140</f>
        <v>0</v>
      </c>
      <c r="E140" s="17" t="n">
        <f aca="false">IF(B140&gt;=$H$2,D140,"")</f>
        <v>0</v>
      </c>
      <c r="F140" s="2"/>
      <c r="G140" s="2"/>
      <c r="H140" s="2"/>
    </row>
    <row r="141" customFormat="false" ht="15" hidden="false" customHeight="false" outlineLevel="0" collapsed="false">
      <c r="A141" s="5" t="s">
        <v>158</v>
      </c>
      <c r="B141" s="7" t="n">
        <v>17</v>
      </c>
      <c r="C141" s="7" t="n">
        <v>0</v>
      </c>
      <c r="D141" s="17" t="n">
        <f aca="false">C141/B141</f>
        <v>0</v>
      </c>
      <c r="E141" s="17" t="str">
        <f aca="false">IF(B141&gt;=$H$2,D141,"")</f>
        <v/>
      </c>
      <c r="F141" s="2"/>
      <c r="G141" s="2"/>
      <c r="H141" s="2"/>
    </row>
    <row r="142" customFormat="false" ht="15" hidden="false" customHeight="false" outlineLevel="0" collapsed="false">
      <c r="A142" s="5" t="s">
        <v>159</v>
      </c>
      <c r="B142" s="7" t="n">
        <v>91</v>
      </c>
      <c r="C142" s="7" t="n">
        <v>0</v>
      </c>
      <c r="D142" s="17" t="n">
        <f aca="false">C142/B142</f>
        <v>0</v>
      </c>
      <c r="E142" s="17" t="n">
        <f aca="false">IF(B142&gt;=$H$2,D142,"")</f>
        <v>0</v>
      </c>
      <c r="F142" s="2"/>
      <c r="G142" s="2"/>
      <c r="H142" s="2"/>
    </row>
    <row r="143" customFormat="false" ht="15" hidden="false" customHeight="false" outlineLevel="0" collapsed="false">
      <c r="A143" s="5" t="s">
        <v>160</v>
      </c>
      <c r="B143" s="7" t="n">
        <v>4</v>
      </c>
      <c r="C143" s="7" t="n">
        <v>0</v>
      </c>
      <c r="D143" s="17" t="n">
        <f aca="false">C143/B143</f>
        <v>0</v>
      </c>
      <c r="E143" s="17" t="str">
        <f aca="false">IF(B143&gt;=$H$2,D143,"")</f>
        <v/>
      </c>
      <c r="F143" s="2"/>
      <c r="G143" s="2"/>
      <c r="H143" s="2"/>
    </row>
    <row r="144" customFormat="false" ht="15" hidden="false" customHeight="false" outlineLevel="0" collapsed="false">
      <c r="A144" s="5" t="s">
        <v>161</v>
      </c>
      <c r="B144" s="7" t="n">
        <v>249</v>
      </c>
      <c r="C144" s="7" t="n">
        <v>0</v>
      </c>
      <c r="D144" s="17" t="n">
        <f aca="false">C144/B144</f>
        <v>0</v>
      </c>
      <c r="E144" s="17" t="n">
        <f aca="false">IF(B144&gt;=$H$2,D144,"")</f>
        <v>0</v>
      </c>
      <c r="F144" s="2"/>
      <c r="G144" s="2"/>
      <c r="H144" s="2"/>
    </row>
    <row r="145" customFormat="false" ht="15" hidden="false" customHeight="false" outlineLevel="0" collapsed="false">
      <c r="A145" s="5" t="s">
        <v>162</v>
      </c>
      <c r="B145" s="7" t="n">
        <v>90</v>
      </c>
      <c r="C145" s="7" t="n">
        <v>0</v>
      </c>
      <c r="D145" s="17" t="n">
        <f aca="false">C145/B145</f>
        <v>0</v>
      </c>
      <c r="E145" s="17" t="n">
        <f aca="false">IF(B145&gt;=$H$2,D145,"")</f>
        <v>0</v>
      </c>
      <c r="F145" s="2"/>
      <c r="G145" s="2"/>
      <c r="H145" s="2"/>
    </row>
    <row r="146" customFormat="false" ht="15" hidden="false" customHeight="false" outlineLevel="0" collapsed="false">
      <c r="A146" s="5" t="s">
        <v>163</v>
      </c>
      <c r="B146" s="7" t="n">
        <v>272</v>
      </c>
      <c r="C146" s="7" t="n">
        <v>0</v>
      </c>
      <c r="D146" s="17" t="n">
        <f aca="false">C146/B146</f>
        <v>0</v>
      </c>
      <c r="E146" s="17" t="n">
        <f aca="false">IF(B146&gt;=$H$2,D146,"")</f>
        <v>0</v>
      </c>
      <c r="F146" s="2"/>
      <c r="G146" s="2"/>
      <c r="H146" s="2"/>
    </row>
    <row r="147" customFormat="false" ht="15" hidden="false" customHeight="false" outlineLevel="0" collapsed="false">
      <c r="A147" s="5" t="s">
        <v>164</v>
      </c>
      <c r="B147" s="7" t="n">
        <v>71</v>
      </c>
      <c r="C147" s="7" t="n">
        <v>0</v>
      </c>
      <c r="D147" s="17" t="n">
        <f aca="false">C147/B147</f>
        <v>0</v>
      </c>
      <c r="E147" s="17" t="n">
        <f aca="false">IF(B147&gt;=$H$2,D147,"")</f>
        <v>0</v>
      </c>
      <c r="F147" s="2"/>
      <c r="G147" s="2"/>
      <c r="H147" s="2"/>
    </row>
    <row r="148" customFormat="false" ht="15" hidden="false" customHeight="false" outlineLevel="0" collapsed="false">
      <c r="A148" s="5" t="s">
        <v>165</v>
      </c>
      <c r="B148" s="7" t="n">
        <v>20</v>
      </c>
      <c r="C148" s="7" t="n">
        <v>0</v>
      </c>
      <c r="D148" s="17" t="n">
        <f aca="false">C148/B148</f>
        <v>0</v>
      </c>
      <c r="E148" s="17" t="n">
        <f aca="false">IF(B148&gt;=$H$2,D148,"")</f>
        <v>0</v>
      </c>
      <c r="F148" s="2"/>
      <c r="G148" s="2"/>
      <c r="H148" s="2"/>
    </row>
    <row r="149" customFormat="false" ht="15" hidden="false" customHeight="false" outlineLevel="0" collapsed="false">
      <c r="A149" s="5" t="s">
        <v>166</v>
      </c>
      <c r="B149" s="7" t="n">
        <v>54</v>
      </c>
      <c r="C149" s="7" t="n">
        <v>0</v>
      </c>
      <c r="D149" s="17" t="n">
        <f aca="false">C149/B149</f>
        <v>0</v>
      </c>
      <c r="E149" s="17" t="n">
        <f aca="false">IF(B149&gt;=$H$2,D149,"")</f>
        <v>0</v>
      </c>
      <c r="F149" s="2"/>
      <c r="G149" s="2"/>
      <c r="H149" s="2"/>
    </row>
    <row r="150" customFormat="false" ht="15" hidden="false" customHeight="false" outlineLevel="0" collapsed="false">
      <c r="A150" s="5" t="s">
        <v>167</v>
      </c>
      <c r="B150" s="7" t="n">
        <v>34</v>
      </c>
      <c r="C150" s="7" t="n">
        <v>0</v>
      </c>
      <c r="D150" s="17" t="n">
        <f aca="false">C150/B150</f>
        <v>0</v>
      </c>
      <c r="E150" s="17" t="n">
        <f aca="false">IF(B150&gt;=$H$2,D150,"")</f>
        <v>0</v>
      </c>
      <c r="F150" s="2"/>
      <c r="G150" s="2"/>
      <c r="H150" s="2"/>
    </row>
    <row r="151" customFormat="false" ht="15" hidden="false" customHeight="false" outlineLevel="0" collapsed="false">
      <c r="A151" s="5" t="s">
        <v>168</v>
      </c>
      <c r="B151" s="7" t="n">
        <v>28</v>
      </c>
      <c r="C151" s="7" t="n">
        <v>0</v>
      </c>
      <c r="D151" s="17" t="n">
        <f aca="false">C151/B151</f>
        <v>0</v>
      </c>
      <c r="E151" s="17" t="n">
        <f aca="false">IF(B151&gt;=$H$2,D151,"")</f>
        <v>0</v>
      </c>
      <c r="F151" s="2"/>
      <c r="G151" s="2"/>
      <c r="H151" s="2"/>
    </row>
    <row r="152" customFormat="false" ht="15" hidden="false" customHeight="false" outlineLevel="0" collapsed="false">
      <c r="A152" s="5" t="s">
        <v>169</v>
      </c>
      <c r="B152" s="7" t="n">
        <v>3</v>
      </c>
      <c r="C152" s="7" t="n">
        <v>0</v>
      </c>
      <c r="D152" s="17" t="n">
        <f aca="false">C152/B152</f>
        <v>0</v>
      </c>
      <c r="E152" s="17" t="str">
        <f aca="false">IF(B152&gt;=$H$2,D152,"")</f>
        <v/>
      </c>
      <c r="F152" s="2"/>
      <c r="G152" s="2"/>
      <c r="H152" s="2"/>
    </row>
    <row r="153" customFormat="false" ht="15" hidden="false" customHeight="false" outlineLevel="0" collapsed="false">
      <c r="A153" s="5" t="s">
        <v>171</v>
      </c>
      <c r="B153" s="7" t="n">
        <v>95</v>
      </c>
      <c r="C153" s="7" t="n">
        <v>0</v>
      </c>
      <c r="D153" s="17" t="n">
        <f aca="false">C153/B153</f>
        <v>0</v>
      </c>
      <c r="E153" s="17" t="n">
        <f aca="false">IF(B153&gt;=$H$2,D153,"")</f>
        <v>0</v>
      </c>
      <c r="F153" s="2"/>
      <c r="G153" s="2"/>
      <c r="H153" s="2"/>
    </row>
    <row r="154" customFormat="false" ht="15" hidden="false" customHeight="false" outlineLevel="0" collapsed="false">
      <c r="A154" s="5" t="s">
        <v>172</v>
      </c>
      <c r="B154" s="7" t="n">
        <v>92</v>
      </c>
      <c r="C154" s="7" t="n">
        <v>0</v>
      </c>
      <c r="D154" s="17" t="n">
        <f aca="false">C154/B154</f>
        <v>0</v>
      </c>
      <c r="E154" s="17" t="n">
        <f aca="false">IF(B154&gt;=$H$2,D154,"")</f>
        <v>0</v>
      </c>
      <c r="F154" s="2"/>
      <c r="G154" s="2"/>
      <c r="H154" s="2"/>
    </row>
    <row r="155" customFormat="false" ht="15" hidden="false" customHeight="false" outlineLevel="0" collapsed="false">
      <c r="A155" s="5" t="s">
        <v>173</v>
      </c>
      <c r="B155" s="7" t="n">
        <v>6</v>
      </c>
      <c r="C155" s="7" t="n">
        <v>0</v>
      </c>
      <c r="D155" s="17" t="n">
        <f aca="false">C155/B155</f>
        <v>0</v>
      </c>
      <c r="E155" s="17" t="str">
        <f aca="false">IF(B155&gt;=$H$2,D155,"")</f>
        <v/>
      </c>
      <c r="F155" s="2"/>
      <c r="G155" s="2"/>
      <c r="H155" s="2"/>
    </row>
    <row r="156" customFormat="false" ht="15" hidden="false" customHeight="false" outlineLevel="0" collapsed="false">
      <c r="A156" s="5" t="s">
        <v>174</v>
      </c>
      <c r="B156" s="7" t="n">
        <v>278</v>
      </c>
      <c r="C156" s="7" t="n">
        <v>0</v>
      </c>
      <c r="D156" s="17" t="n">
        <f aca="false">C156/B156</f>
        <v>0</v>
      </c>
      <c r="E156" s="17" t="n">
        <f aca="false">IF(B156&gt;=$H$2,D156,"")</f>
        <v>0</v>
      </c>
      <c r="F156" s="2"/>
      <c r="G156" s="2"/>
      <c r="H156" s="2"/>
    </row>
    <row r="157" customFormat="false" ht="15" hidden="false" customHeight="false" outlineLevel="0" collapsed="false">
      <c r="A157" s="5" t="s">
        <v>175</v>
      </c>
      <c r="B157" s="7" t="n">
        <v>84</v>
      </c>
      <c r="C157" s="7" t="n">
        <v>0</v>
      </c>
      <c r="D157" s="17" t="n">
        <f aca="false">C157/B157</f>
        <v>0</v>
      </c>
      <c r="E157" s="17" t="n">
        <f aca="false">IF(B157&gt;=$H$2,D157,"")</f>
        <v>0</v>
      </c>
      <c r="F157" s="2"/>
      <c r="G157" s="2"/>
      <c r="H157" s="2"/>
    </row>
    <row r="158" customFormat="false" ht="15" hidden="false" customHeight="false" outlineLevel="0" collapsed="false">
      <c r="A158" s="5" t="s">
        <v>176</v>
      </c>
      <c r="B158" s="7" t="n">
        <v>44</v>
      </c>
      <c r="C158" s="7" t="n">
        <v>0</v>
      </c>
      <c r="D158" s="17" t="n">
        <f aca="false">C158/B158</f>
        <v>0</v>
      </c>
      <c r="E158" s="17" t="n">
        <f aca="false">IF(B158&gt;=$H$2,D158,"")</f>
        <v>0</v>
      </c>
      <c r="F158" s="2"/>
      <c r="G158" s="2"/>
      <c r="H158" s="2"/>
    </row>
    <row r="159" customFormat="false" ht="15" hidden="false" customHeight="false" outlineLevel="0" collapsed="false">
      <c r="A159" s="5" t="s">
        <v>177</v>
      </c>
      <c r="B159" s="7" t="n">
        <v>21</v>
      </c>
      <c r="C159" s="7" t="n">
        <v>0</v>
      </c>
      <c r="D159" s="17" t="n">
        <f aca="false">C159/B159</f>
        <v>0</v>
      </c>
      <c r="E159" s="17" t="n">
        <f aca="false">IF(B159&gt;=$H$2,D159,"")</f>
        <v>0</v>
      </c>
      <c r="F159" s="2"/>
      <c r="G159" s="2"/>
      <c r="H159" s="2"/>
    </row>
    <row r="160" customFormat="false" ht="15" hidden="false" customHeight="false" outlineLevel="0" collapsed="false">
      <c r="A160" s="5" t="s">
        <v>178</v>
      </c>
      <c r="B160" s="7" t="n">
        <v>93</v>
      </c>
      <c r="C160" s="7" t="n">
        <v>0</v>
      </c>
      <c r="D160" s="17" t="n">
        <f aca="false">C160/B160</f>
        <v>0</v>
      </c>
      <c r="E160" s="17" t="n">
        <f aca="false">IF(B160&gt;=$H$2,D160,"")</f>
        <v>0</v>
      </c>
      <c r="F160" s="2"/>
      <c r="G160" s="2"/>
      <c r="H160" s="2"/>
    </row>
    <row r="161" customFormat="false" ht="15" hidden="false" customHeight="false" outlineLevel="0" collapsed="false">
      <c r="A161" s="5" t="s">
        <v>179</v>
      </c>
      <c r="B161" s="7" t="n">
        <v>228</v>
      </c>
      <c r="C161" s="7" t="n">
        <v>0</v>
      </c>
      <c r="D161" s="17" t="n">
        <f aca="false">C161/B161</f>
        <v>0</v>
      </c>
      <c r="E161" s="17" t="n">
        <f aca="false">IF(B161&gt;=$H$2,D161,"")</f>
        <v>0</v>
      </c>
      <c r="F161" s="2"/>
      <c r="G161" s="2"/>
      <c r="H161" s="2"/>
    </row>
    <row r="162" customFormat="false" ht="15" hidden="false" customHeight="false" outlineLevel="0" collapsed="false">
      <c r="A162" s="5" t="s">
        <v>180</v>
      </c>
      <c r="B162" s="7" t="n">
        <v>315</v>
      </c>
      <c r="C162" s="7" t="n">
        <v>0</v>
      </c>
      <c r="D162" s="17" t="n">
        <f aca="false">C162/B162</f>
        <v>0</v>
      </c>
      <c r="E162" s="17" t="n">
        <f aca="false">IF(B162&gt;=$H$2,D162,"")</f>
        <v>0</v>
      </c>
      <c r="F162" s="2"/>
      <c r="G162" s="2"/>
      <c r="H162" s="2"/>
    </row>
    <row r="163" customFormat="false" ht="15" hidden="false" customHeight="false" outlineLevel="0" collapsed="false">
      <c r="A163" s="5" t="s">
        <v>181</v>
      </c>
      <c r="B163" s="7" t="n">
        <v>7</v>
      </c>
      <c r="C163" s="7" t="n">
        <v>0</v>
      </c>
      <c r="D163" s="17" t="n">
        <f aca="false">C163/B163</f>
        <v>0</v>
      </c>
      <c r="E163" s="17" t="str">
        <f aca="false">IF(B163&gt;=$H$2,D163,"")</f>
        <v/>
      </c>
      <c r="F163" s="2"/>
      <c r="G163" s="2"/>
      <c r="H163" s="2"/>
    </row>
    <row r="164" customFormat="false" ht="15" hidden="false" customHeight="false" outlineLevel="0" collapsed="false">
      <c r="A164" s="5" t="s">
        <v>183</v>
      </c>
      <c r="B164" s="7" t="n">
        <v>463</v>
      </c>
      <c r="C164" s="7" t="n">
        <v>0</v>
      </c>
      <c r="D164" s="17" t="n">
        <f aca="false">C164/B164</f>
        <v>0</v>
      </c>
      <c r="E164" s="17" t="n">
        <f aca="false">IF(B164&gt;=$H$2,D164,"")</f>
        <v>0</v>
      </c>
      <c r="F164" s="2"/>
      <c r="G164" s="2"/>
      <c r="H164" s="2"/>
    </row>
    <row r="165" customFormat="false" ht="15" hidden="false" customHeight="false" outlineLevel="0" collapsed="false">
      <c r="A165" s="5" t="s">
        <v>184</v>
      </c>
      <c r="B165" s="7" t="n">
        <v>3</v>
      </c>
      <c r="C165" s="7" t="n">
        <v>0</v>
      </c>
      <c r="D165" s="17" t="n">
        <f aca="false">C165/B165</f>
        <v>0</v>
      </c>
      <c r="E165" s="17" t="str">
        <f aca="false">IF(B165&gt;=$H$2,D165,"")</f>
        <v/>
      </c>
      <c r="F165" s="2"/>
      <c r="G165" s="2"/>
      <c r="H165" s="2"/>
    </row>
    <row r="166" customFormat="false" ht="15" hidden="false" customHeight="false" outlineLevel="0" collapsed="false">
      <c r="A166" s="5" t="s">
        <v>185</v>
      </c>
      <c r="B166" s="7" t="n">
        <v>20</v>
      </c>
      <c r="C166" s="7" t="n">
        <v>0</v>
      </c>
      <c r="D166" s="17" t="n">
        <f aca="false">C166/B166</f>
        <v>0</v>
      </c>
      <c r="E166" s="17" t="n">
        <f aca="false">IF(B166&gt;=$H$2,D166,"")</f>
        <v>0</v>
      </c>
      <c r="F166" s="2"/>
      <c r="G166" s="2"/>
      <c r="H166" s="2"/>
    </row>
    <row r="167" customFormat="false" ht="15" hidden="false" customHeight="false" outlineLevel="0" collapsed="false">
      <c r="A167" s="5" t="s">
        <v>186</v>
      </c>
      <c r="B167" s="7" t="n">
        <v>158</v>
      </c>
      <c r="C167" s="7" t="n">
        <v>0</v>
      </c>
      <c r="D167" s="17" t="n">
        <f aca="false">C167/B167</f>
        <v>0</v>
      </c>
      <c r="E167" s="17" t="n">
        <f aca="false">IF(B167&gt;=$H$2,D167,"")</f>
        <v>0</v>
      </c>
      <c r="F167" s="2"/>
      <c r="G167" s="2"/>
      <c r="H167" s="2"/>
    </row>
    <row r="168" customFormat="false" ht="15" hidden="false" customHeight="false" outlineLevel="0" collapsed="false">
      <c r="A168" s="5" t="s">
        <v>187</v>
      </c>
      <c r="B168" s="7" t="n">
        <v>293</v>
      </c>
      <c r="C168" s="7" t="n">
        <v>0</v>
      </c>
      <c r="D168" s="17" t="n">
        <f aca="false">C168/B168</f>
        <v>0</v>
      </c>
      <c r="E168" s="17" t="n">
        <f aca="false">IF(B168&gt;=$H$2,D168,"")</f>
        <v>0</v>
      </c>
      <c r="F168" s="2"/>
      <c r="G168" s="2"/>
      <c r="H168" s="2"/>
    </row>
    <row r="169" customFormat="false" ht="15" hidden="false" customHeight="false" outlineLevel="0" collapsed="false">
      <c r="A169" s="5" t="s">
        <v>188</v>
      </c>
      <c r="B169" s="7" t="n">
        <v>280</v>
      </c>
      <c r="C169" s="7" t="n">
        <v>0</v>
      </c>
      <c r="D169" s="17" t="n">
        <f aca="false">C169/B169</f>
        <v>0</v>
      </c>
      <c r="E169" s="17" t="n">
        <f aca="false">IF(B169&gt;=$H$2,D169,"")</f>
        <v>0</v>
      </c>
      <c r="F169" s="2"/>
      <c r="G169" s="2"/>
      <c r="H169" s="2"/>
    </row>
  </sheetData>
  <mergeCells count="6">
    <mergeCell ref="G12:H12"/>
    <mergeCell ref="G13:H13"/>
    <mergeCell ref="G14:H14"/>
    <mergeCell ref="G15:H15"/>
    <mergeCell ref="G16:H16"/>
    <mergeCell ref="G17:H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4" min="2" style="0" width="14"/>
    <col collapsed="false" customWidth="true" hidden="false" outlineLevel="0" max="5" min="5" style="0" width="38"/>
    <col collapsed="false" customWidth="true" hidden="false" outlineLevel="0" max="6" min="6" style="0" width="50"/>
  </cols>
  <sheetData>
    <row r="1" customFormat="false" ht="26.85" hidden="false" customHeight="false" outlineLevel="0" collapsed="false">
      <c r="A1" s="13" t="s">
        <v>204</v>
      </c>
      <c r="B1" s="13" t="s">
        <v>189</v>
      </c>
      <c r="C1" s="13" t="s">
        <v>1</v>
      </c>
      <c r="D1" s="13" t="s">
        <v>205</v>
      </c>
      <c r="E1" s="13" t="s">
        <v>206</v>
      </c>
      <c r="F1" s="13" t="s">
        <v>207</v>
      </c>
    </row>
    <row r="2" customFormat="false" ht="15" hidden="false" customHeight="false" outlineLevel="0" collapsed="false">
      <c r="A2" s="5" t="s">
        <v>208</v>
      </c>
      <c r="B2" s="7" t="n">
        <v>55</v>
      </c>
      <c r="C2" s="7" t="n">
        <v>22</v>
      </c>
      <c r="D2" s="17" t="n">
        <f aca="false">IF(AND(ISNUMBER(B2),B2&gt;0,ISNUMBER(C2)),C2/B2,"")</f>
        <v>0.4</v>
      </c>
      <c r="E2" s="5" t="s">
        <v>209</v>
      </c>
      <c r="F2" s="5"/>
    </row>
    <row r="3" customFormat="false" ht="15" hidden="false" customHeight="false" outlineLevel="0" collapsed="false">
      <c r="A3" s="5" t="s">
        <v>210</v>
      </c>
      <c r="B3" s="7" t="n">
        <v>44</v>
      </c>
      <c r="C3" s="7" t="n">
        <v>17</v>
      </c>
      <c r="D3" s="17" t="n">
        <f aca="false">IF(AND(ISNUMBER(B3),B3&gt;0,ISNUMBER(C3)),C3/B3,"")</f>
        <v>0.386363636363636</v>
      </c>
      <c r="E3" s="5" t="s">
        <v>209</v>
      </c>
      <c r="F3" s="5"/>
    </row>
    <row r="4" customFormat="false" ht="15" hidden="false" customHeight="false" outlineLevel="0" collapsed="false">
      <c r="A4" s="5" t="s">
        <v>211</v>
      </c>
      <c r="B4" s="7" t="n">
        <v>57</v>
      </c>
      <c r="C4" s="7" t="n">
        <v>23</v>
      </c>
      <c r="D4" s="17" t="n">
        <f aca="false">IF(AND(ISNUMBER(B4),B4&gt;0,ISNUMBER(C4)),C4/B4,"")</f>
        <v>0.403508771929825</v>
      </c>
      <c r="E4" s="5" t="s">
        <v>209</v>
      </c>
      <c r="F4" s="5"/>
    </row>
    <row r="5" customFormat="false" ht="15" hidden="false" customHeight="false" outlineLevel="0" collapsed="false">
      <c r="A5" s="5" t="s">
        <v>212</v>
      </c>
      <c r="B5" s="7" t="n">
        <v>16</v>
      </c>
      <c r="C5" s="7" t="n">
        <v>2</v>
      </c>
      <c r="D5" s="17" t="n">
        <f aca="false">IF(AND(ISNUMBER(B5),B5&gt;0,ISNUMBER(C5)),C5/B5,"")</f>
        <v>0.125</v>
      </c>
      <c r="E5" s="5" t="s">
        <v>209</v>
      </c>
      <c r="F5" s="5"/>
    </row>
    <row r="6" customFormat="false" ht="15" hidden="false" customHeight="false" outlineLevel="0" collapsed="false">
      <c r="A6" s="5" t="s">
        <v>213</v>
      </c>
      <c r="B6" s="7" t="n">
        <v>19</v>
      </c>
      <c r="C6" s="7" t="n">
        <v>4</v>
      </c>
      <c r="D6" s="17" t="n">
        <f aca="false">IF(AND(ISNUMBER(B6),B6&gt;0,ISNUMBER(C6)),C6/B6,"")</f>
        <v>0.210526315789474</v>
      </c>
      <c r="E6" s="5" t="s">
        <v>209</v>
      </c>
      <c r="F6" s="5"/>
    </row>
    <row r="7" customFormat="false" ht="15" hidden="false" customHeight="false" outlineLevel="0" collapsed="false">
      <c r="A7" s="5" t="s">
        <v>214</v>
      </c>
      <c r="B7" s="7"/>
      <c r="C7" s="7"/>
      <c r="D7" s="17" t="str">
        <f aca="false">IF(AND(ISNUMBER(B7),B7&gt;0,ISNUMBER(C7)),C7/B7,"")</f>
        <v/>
      </c>
      <c r="E7" s="5" t="s">
        <v>209</v>
      </c>
      <c r="F7" s="5" t="s">
        <v>215</v>
      </c>
    </row>
    <row r="8" customFormat="false" ht="15" hidden="false" customHeight="false" outlineLevel="0" collapsed="false">
      <c r="A8" s="5" t="s">
        <v>216</v>
      </c>
      <c r="B8" s="7" t="n">
        <v>9</v>
      </c>
      <c r="C8" s="7" t="n">
        <v>2</v>
      </c>
      <c r="D8" s="17" t="n">
        <f aca="false">IF(AND(ISNUMBER(B8),B8&gt;0,ISNUMBER(C8)),C8/B8,"")</f>
        <v>0.222222222222222</v>
      </c>
      <c r="E8" s="5" t="s">
        <v>209</v>
      </c>
      <c r="F8" s="5"/>
    </row>
    <row r="9" customFormat="false" ht="15" hidden="false" customHeight="false" outlineLevel="0" collapsed="false">
      <c r="A9" s="5" t="s">
        <v>217</v>
      </c>
      <c r="B9" s="7" t="n">
        <v>35</v>
      </c>
      <c r="C9" s="7" t="n">
        <v>9</v>
      </c>
      <c r="D9" s="17" t="n">
        <f aca="false">IF(AND(ISNUMBER(B9),B9&gt;0,ISNUMBER(C9)),C9/B9,"")</f>
        <v>0.257142857142857</v>
      </c>
      <c r="E9" s="5" t="s">
        <v>209</v>
      </c>
      <c r="F9" s="5"/>
    </row>
    <row r="10" customFormat="false" ht="15" hidden="false" customHeight="false" outlineLevel="0" collapsed="false">
      <c r="A10" s="5" t="s">
        <v>218</v>
      </c>
      <c r="B10" s="7" t="n">
        <v>10</v>
      </c>
      <c r="C10" s="7" t="n">
        <v>0</v>
      </c>
      <c r="D10" s="17" t="n">
        <f aca="false">IF(AND(ISNUMBER(B10),B10&gt;0,ISNUMBER(C10)),C10/B10,"")</f>
        <v>0</v>
      </c>
      <c r="E10" s="5" t="s">
        <v>219</v>
      </c>
      <c r="F10" s="5"/>
    </row>
    <row r="11" customFormat="false" ht="15" hidden="false" customHeight="false" outlineLevel="0" collapsed="false">
      <c r="A11" s="5" t="s">
        <v>220</v>
      </c>
      <c r="B11" s="7" t="n">
        <v>2</v>
      </c>
      <c r="C11" s="7" t="n">
        <v>0</v>
      </c>
      <c r="D11" s="17" t="n">
        <f aca="false">IF(AND(ISNUMBER(B11),B11&gt;0,ISNUMBER(C11)),C11/B11,"")</f>
        <v>0</v>
      </c>
      <c r="E11" s="5" t="s">
        <v>219</v>
      </c>
      <c r="F11" s="5"/>
    </row>
    <row r="12" customFormat="false" ht="15" hidden="false" customHeight="false" outlineLevel="0" collapsed="false">
      <c r="A12" s="5" t="s">
        <v>221</v>
      </c>
      <c r="B12" s="7" t="n">
        <v>13</v>
      </c>
      <c r="C12" s="7"/>
      <c r="D12" s="17" t="str">
        <f aca="false">IF(AND(ISNUMBER(B12),B12&gt;0,ISNUMBER(C12)),C12/B12,"")</f>
        <v/>
      </c>
      <c r="E12" s="5" t="s">
        <v>219</v>
      </c>
      <c r="F12" s="5" t="s">
        <v>222</v>
      </c>
    </row>
    <row r="13" customFormat="false" ht="15" hidden="false" customHeight="false" outlineLevel="0" collapsed="false">
      <c r="A13" s="3" t="s">
        <v>223</v>
      </c>
      <c r="B13" s="3" t="n">
        <f aca="false">SUM(B2:B12)</f>
        <v>260</v>
      </c>
      <c r="C13" s="3" t="n">
        <f aca="false">SUM(C2:C12)</f>
        <v>79</v>
      </c>
      <c r="D13" s="14" t="n">
        <f aca="false">C13/B13</f>
        <v>0.303846153846154</v>
      </c>
      <c r="E13" s="3"/>
      <c r="F13" s="3"/>
    </row>
    <row r="15" customFormat="false" ht="15" hidden="false" customHeight="true" outlineLevel="0" collapsed="false">
      <c r="A15" s="11" t="s">
        <v>22</v>
      </c>
      <c r="B15" s="11"/>
      <c r="C15" s="11"/>
      <c r="D15" s="11"/>
      <c r="E15" s="11"/>
      <c r="F15" s="11"/>
    </row>
    <row r="16" customFormat="false" ht="48" hidden="false" customHeight="true" outlineLevel="0" collapsed="false">
      <c r="A16" s="12" t="s">
        <v>224</v>
      </c>
      <c r="B16" s="12"/>
      <c r="C16" s="12"/>
      <c r="D16" s="12"/>
      <c r="E16" s="12"/>
      <c r="F16" s="12"/>
    </row>
    <row r="17" customFormat="false" ht="48" hidden="false" customHeight="true" outlineLevel="0" collapsed="false">
      <c r="A17" s="12" t="s">
        <v>225</v>
      </c>
      <c r="B17" s="12"/>
      <c r="C17" s="12"/>
      <c r="D17" s="12"/>
      <c r="E17" s="12"/>
      <c r="F17" s="12"/>
    </row>
  </sheetData>
  <mergeCells count="3">
    <mergeCell ref="A15:F15"/>
    <mergeCell ref="A16:F16"/>
    <mergeCell ref="A17:F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2026-10-13T14:11:57Z</dcterms:created>
  <dc:creator>openpyxl</dc:creator>
  <dc:description/>
  <dc:language>en-US</dc:language>
  <cp:lastModifiedBy/>
  <dcterms:modified xsi:type="dcterms:W3CDTF">2026-10-13T14:11:57Z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