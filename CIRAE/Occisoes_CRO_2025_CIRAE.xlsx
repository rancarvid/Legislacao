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comments2.xml" ContentType="application/vnd.openxmlformats-officedocument.spreadsheetml.comments+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ccisões 2025" sheetId="1" state="visible" r:id="rId3"/>
    <sheet name="Taxa de occisão" sheetId="2" state="visible" r:id="rId4"/>
    <sheet name="Teste estatístico" sheetId="3" state="visible" r:id="rId5"/>
    <sheet name="Cauda binomial" sheetId="4" state="visible" r:id="rId6"/>
    <sheet name="Composição CIRAE" sheetId="5" state="visible" r:id="rId7"/>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2" authorId="0">
      <text>
        <r>
          <rPr>
            <sz val="10"/>
            <rFont val="Arial"/>
            <family val="2"/>
          </rPr>
          <t xml:space="preserve">Soma da folha «Composição CIRAE».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H2" authorId="0">
      <text>
        <r>
          <rPr>
            <sz val="10"/>
            <rFont val="Arial"/>
            <family val="2"/>
          </rPr>
          <t xml:space="preserve">Pressuposto: entidades com menos de 20 animais recolhidos ficam fora da média, da mediana e da posição, porque uma ou duas occisões dão taxas muito altas. Pode alterar este valor.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Q7" authorId="0">
      <text>
        <r>
          <rPr>
            <sz val="10"/>
            <rFont val="Arial"/>
            <family val="2"/>
          </rPr>
          <t xml:space="preserve">Spiegelhalter (2005), Handling over-dispersion of performance indicators: média dos z² com winsorização a 10 % em cada cauda. φ &gt; 1 indica mais variação entre CRO do que o acaso explica; os limites do funil são alargados por √φ.</t>
        </r>
      </text>
    </comment>
    <comment ref="Q13" authorId="0">
      <text>
        <r>
          <rPr>
            <sz val="10"/>
            <rFont val="Arial"/>
            <family val="2"/>
          </rPr>
          <t xml:space="preserve">Quantil da normal padrão para 95 % bilateral (Spiegelhalter, 2005).</t>
        </r>
      </text>
    </comment>
    <comment ref="Q14" authorId="0">
      <text>
        <r>
          <rPr>
            <sz val="10"/>
            <rFont val="Arial"/>
            <family val="2"/>
          </rPr>
          <t xml:space="preserve">Quantil da normal padrão para 99,8 % bilateral (Spiegelhalter, 2005).</t>
        </r>
      </text>
    </comment>
  </commentList>
</comments>
</file>

<file path=xl/sharedStrings.xml><?xml version="1.0" encoding="utf-8"?>
<sst xmlns="http://schemas.openxmlformats.org/spreadsheetml/2006/main" count="487" uniqueCount="296">
  <si>
    <t xml:space="preserve">Entidade</t>
  </si>
  <si>
    <t xml:space="preserve">Occisões 2025</t>
  </si>
  <si>
    <t xml:space="preserve">Indicador</t>
  </si>
  <si>
    <t xml:space="preserve">Valor</t>
  </si>
  <si>
    <t xml:space="preserve">CIRAE – Proença-a-Nova (11 municípios)</t>
  </si>
  <si>
    <t xml:space="preserve">Média das restantes entidades</t>
  </si>
  <si>
    <t xml:space="preserve">Lisboa</t>
  </si>
  <si>
    <t xml:space="preserve">Mediana das restantes entidades</t>
  </si>
  <si>
    <t xml:space="preserve">Matosinhos</t>
  </si>
  <si>
    <t xml:space="preserve">Occisões do CIRAE</t>
  </si>
  <si>
    <t xml:space="preserve">Cascais</t>
  </si>
  <si>
    <t xml:space="preserve">CIRAE em relação à média (n.º de vezes)</t>
  </si>
  <si>
    <t xml:space="preserve">Funchal</t>
  </si>
  <si>
    <t xml:space="preserve">CIRAE em relação à mediana (n.º de vezes)</t>
  </si>
  <si>
    <t xml:space="preserve">Sesimbra</t>
  </si>
  <si>
    <t xml:space="preserve">Percentagem do CIRAE no total das entidades</t>
  </si>
  <si>
    <t xml:space="preserve">Ponta Delgada</t>
  </si>
  <si>
    <t xml:space="preserve">Posição do CIRAE (1 = mais occisões)</t>
  </si>
  <si>
    <t xml:space="preserve">Setúbal</t>
  </si>
  <si>
    <t xml:space="preserve">N.º de entidades com valor (incluindo o CIRAE)</t>
  </si>
  <si>
    <t xml:space="preserve">Fafe</t>
  </si>
  <si>
    <t xml:space="preserve">Santarém</t>
  </si>
  <si>
    <t xml:space="preserve">Notas</t>
  </si>
  <si>
    <t xml:space="preserve">Vila Nova de Famalicão</t>
  </si>
  <si>
    <t xml:space="preserve">Fonte: DGAV, Relatório de atividade dos Centros de Recolha Oficial, ano 2025 (31.3.2026), Tabela 1, colunas «Animais Recolhidos» e «Animais Eutanasiados». https://www.dgav.pt/wp-content/uploads/2026/03/Relatorio_CROs_2025_31032026-rev.pdf</t>
  </si>
  <si>
    <t xml:space="preserve">Tomar</t>
  </si>
  <si>
    <t xml:space="preserve">Entidades: municípios com CRO registado (Tabela 1). Excluem-se as linhas sem CRO («*»), sem dados («NF») e as que remetem para outro CRO intermunicipal.</t>
  </si>
  <si>
    <t xml:space="preserve">Barreiro</t>
  </si>
  <si>
    <t xml:space="preserve">O CIRAE agrega os 11 municípios que o integram (folha «Composição CIRAE»). Nos restantes CRO intermunicipais, cada município surge em linha própria, como no relatório.</t>
  </si>
  <si>
    <t xml:space="preserve">Ílhavo</t>
  </si>
  <si>
    <t xml:space="preserve">Valores em número absoluto, dependentes da dimensão de cada entidade. Para comparar sem esse efeito, ver a folha «Taxa de occisão».</t>
  </si>
  <si>
    <t xml:space="preserve">Penalva do Castelo</t>
  </si>
  <si>
    <t xml:space="preserve">Contam só cães e gatos («outras Sp.» excluídas). Na notícia da Lusa de 22.8.2026, o CIRAE refere 97 occisões em 2025 (64 cães e 33 gatos).</t>
  </si>
  <si>
    <t xml:space="preserve">Almada</t>
  </si>
  <si>
    <t xml:space="preserve">Leiria</t>
  </si>
  <si>
    <t xml:space="preserve">Seia</t>
  </si>
  <si>
    <t xml:space="preserve">Vila Real</t>
  </si>
  <si>
    <t xml:space="preserve">Valongo</t>
  </si>
  <si>
    <t xml:space="preserve">Valpaços</t>
  </si>
  <si>
    <t xml:space="preserve">Viana do Castelo</t>
  </si>
  <si>
    <t xml:space="preserve">Loures 37 (outras Sp.)</t>
  </si>
  <si>
    <t xml:space="preserve">Paredes</t>
  </si>
  <si>
    <t xml:space="preserve">Satão</t>
  </si>
  <si>
    <t xml:space="preserve">Coimbra</t>
  </si>
  <si>
    <t xml:space="preserve">Abrantes</t>
  </si>
  <si>
    <t xml:space="preserve">Marinha Grande</t>
  </si>
  <si>
    <t xml:space="preserve">Montijo</t>
  </si>
  <si>
    <t xml:space="preserve">Porto</t>
  </si>
  <si>
    <t xml:space="preserve">Alcobaça</t>
  </si>
  <si>
    <t xml:space="preserve">Chaves</t>
  </si>
  <si>
    <t xml:space="preserve">Arruda dos Vinhos</t>
  </si>
  <si>
    <t xml:space="preserve">Lagoa (Algarve)</t>
  </si>
  <si>
    <t xml:space="preserve">Lamego</t>
  </si>
  <si>
    <t xml:space="preserve">Vila Franca de Xira</t>
  </si>
  <si>
    <t xml:space="preserve">Beja</t>
  </si>
  <si>
    <t xml:space="preserve">Odivelas</t>
  </si>
  <si>
    <t xml:space="preserve">Trancoso</t>
  </si>
  <si>
    <t xml:space="preserve">Oeiras 56 (outras Sp.)</t>
  </si>
  <si>
    <t xml:space="preserve">Amadora</t>
  </si>
  <si>
    <t xml:space="preserve">Faro</t>
  </si>
  <si>
    <t xml:space="preserve">Palmela</t>
  </si>
  <si>
    <t xml:space="preserve">Torres Vedras</t>
  </si>
  <si>
    <t xml:space="preserve">Vinhais</t>
  </si>
  <si>
    <t xml:space="preserve">Barcelos</t>
  </si>
  <si>
    <t xml:space="preserve">Braga</t>
  </si>
  <si>
    <t xml:space="preserve">Alcanena</t>
  </si>
  <si>
    <t xml:space="preserve">Marco de Canaveses</t>
  </si>
  <si>
    <t xml:space="preserve">Mesão Frio</t>
  </si>
  <si>
    <t xml:space="preserve">Penafiel</t>
  </si>
  <si>
    <t xml:space="preserve">Ansião</t>
  </si>
  <si>
    <t xml:space="preserve">Montemor-o-Velho</t>
  </si>
  <si>
    <t xml:space="preserve">Santa Maria da Feira</t>
  </si>
  <si>
    <t xml:space="preserve">Paços de Ferreira</t>
  </si>
  <si>
    <t xml:space="preserve">Santa Cruz</t>
  </si>
  <si>
    <t xml:space="preserve">Alpiarça</t>
  </si>
  <si>
    <t xml:space="preserve">Gondomar</t>
  </si>
  <si>
    <t xml:space="preserve">Macedo de Cavaleiros</t>
  </si>
  <si>
    <t xml:space="preserve">Celorico da Beira</t>
  </si>
  <si>
    <t xml:space="preserve">Lousada</t>
  </si>
  <si>
    <t xml:space="preserve">Mafra</t>
  </si>
  <si>
    <t xml:space="preserve">Ourém</t>
  </si>
  <si>
    <t xml:space="preserve">Pinhel</t>
  </si>
  <si>
    <t xml:space="preserve">Aguiar da Beira</t>
  </si>
  <si>
    <t xml:space="preserve">Lajes das Flores</t>
  </si>
  <si>
    <t xml:space="preserve">Mourão</t>
  </si>
  <si>
    <t xml:space="preserve">Pombal</t>
  </si>
  <si>
    <t xml:space="preserve">Ribeira Grande</t>
  </si>
  <si>
    <t xml:space="preserve">Sabrosa</t>
  </si>
  <si>
    <t xml:space="preserve">Serpa</t>
  </si>
  <si>
    <t xml:space="preserve">Alfândega da Fé</t>
  </si>
  <si>
    <t xml:space="preserve">Alijó</t>
  </si>
  <si>
    <t xml:space="preserve">Castelo Branco</t>
  </si>
  <si>
    <t xml:space="preserve">Ponte de Lima</t>
  </si>
  <si>
    <t xml:space="preserve">Seixal</t>
  </si>
  <si>
    <t xml:space="preserve">Sintra</t>
  </si>
  <si>
    <t xml:space="preserve">Tarouca</t>
  </si>
  <si>
    <t xml:space="preserve">Vila Viçosa</t>
  </si>
  <si>
    <t xml:space="preserve">Évora</t>
  </si>
  <si>
    <t xml:space="preserve">Baião</t>
  </si>
  <si>
    <t xml:space="preserve">Caldas da Rainha</t>
  </si>
  <si>
    <t xml:space="preserve">Cantanhede</t>
  </si>
  <si>
    <t xml:space="preserve">Carregal do Sal</t>
  </si>
  <si>
    <t xml:space="preserve">Moita 3 (outras Sp.)</t>
  </si>
  <si>
    <t xml:space="preserve">Rio Maior</t>
  </si>
  <si>
    <t xml:space="preserve">Angra do Heroísmo (CRO Intermunic. da Terceira)</t>
  </si>
  <si>
    <t xml:space="preserve">Borba</t>
  </si>
  <si>
    <t xml:space="preserve">Monção</t>
  </si>
  <si>
    <t xml:space="preserve">Ponte da Barca</t>
  </si>
  <si>
    <t xml:space="preserve">Porto Santo</t>
  </si>
  <si>
    <t xml:space="preserve">Porto de Mós</t>
  </si>
  <si>
    <t xml:space="preserve">Santa Marta de Penaguião</t>
  </si>
  <si>
    <t xml:space="preserve">Torres Novas</t>
  </si>
  <si>
    <t xml:space="preserve">Águeda</t>
  </si>
  <si>
    <t xml:space="preserve">Óbidos</t>
  </si>
  <si>
    <t xml:space="preserve">Albergaria-a-Velha</t>
  </si>
  <si>
    <t xml:space="preserve">Alcochete</t>
  </si>
  <si>
    <t xml:space="preserve">Almeida</t>
  </si>
  <si>
    <t xml:space="preserve">Amarante</t>
  </si>
  <si>
    <t xml:space="preserve">Coruche</t>
  </si>
  <si>
    <t xml:space="preserve">Lagoa</t>
  </si>
  <si>
    <t xml:space="preserve">Odemira</t>
  </si>
  <si>
    <t xml:space="preserve">Oliveira de Azeméis</t>
  </si>
  <si>
    <t xml:space="preserve">Ourique</t>
  </si>
  <si>
    <t xml:space="preserve">Ponte de Sor</t>
  </si>
  <si>
    <t xml:space="preserve">Santa Cruz da Graciosa</t>
  </si>
  <si>
    <t xml:space="preserve">Sobral de Monte Agraço</t>
  </si>
  <si>
    <t xml:space="preserve">Alandroal</t>
  </si>
  <si>
    <t xml:space="preserve">Aljustrel</t>
  </si>
  <si>
    <t xml:space="preserve">Almodôvar</t>
  </si>
  <si>
    <t xml:space="preserve">Alvito</t>
  </si>
  <si>
    <t xml:space="preserve">Arcos de Valdevez</t>
  </si>
  <si>
    <t xml:space="preserve">Batalha</t>
  </si>
  <si>
    <t xml:space="preserve">Caminha</t>
  </si>
  <si>
    <t xml:space="preserve">Cartaxo</t>
  </si>
  <si>
    <t xml:space="preserve">Horta</t>
  </si>
  <si>
    <t xml:space="preserve">Lagos</t>
  </si>
  <si>
    <t xml:space="preserve">Melgaço</t>
  </si>
  <si>
    <t xml:space="preserve">Miranda do Douro</t>
  </si>
  <si>
    <t xml:space="preserve">Póvoa de Varzim</t>
  </si>
  <si>
    <t xml:space="preserve">Vale de Cambra</t>
  </si>
  <si>
    <t xml:space="preserve">Vila Nova de Cerveira</t>
  </si>
  <si>
    <t xml:space="preserve">Vimioso</t>
  </si>
  <si>
    <t xml:space="preserve">Vizela</t>
  </si>
  <si>
    <t xml:space="preserve">Almeirim</t>
  </si>
  <si>
    <t xml:space="preserve">Amares</t>
  </si>
  <si>
    <t xml:space="preserve">Arganil</t>
  </si>
  <si>
    <t xml:space="preserve">Arouca</t>
  </si>
  <si>
    <t xml:space="preserve">Barrancos</t>
  </si>
  <si>
    <t xml:space="preserve">Benavente</t>
  </si>
  <si>
    <t xml:space="preserve">Boticas</t>
  </si>
  <si>
    <t xml:space="preserve">Bragança</t>
  </si>
  <si>
    <t xml:space="preserve">Castelo de Paiva</t>
  </si>
  <si>
    <t xml:space="preserve">Castro Marim</t>
  </si>
  <si>
    <t xml:space="preserve">Castro Verde</t>
  </si>
  <si>
    <t xml:space="preserve">Constância</t>
  </si>
  <si>
    <t xml:space="preserve">Crato</t>
  </si>
  <si>
    <t xml:space="preserve">Entroncame nto</t>
  </si>
  <si>
    <t xml:space="preserve">Felgueiras</t>
  </si>
  <si>
    <t xml:space="preserve">Ferreira do Alentejo</t>
  </si>
  <si>
    <t xml:space="preserve">Figueira de Castelo Rodrigo</t>
  </si>
  <si>
    <t xml:space="preserve">Fronteira</t>
  </si>
  <si>
    <t xml:space="preserve">Fundão</t>
  </si>
  <si>
    <t xml:space="preserve">Loulé</t>
  </si>
  <si>
    <t xml:space="preserve">Lousã</t>
  </si>
  <si>
    <t xml:space="preserve">Meda</t>
  </si>
  <si>
    <t xml:space="preserve">Mira</t>
  </si>
  <si>
    <t xml:space="preserve">Miranda do Corvo</t>
  </si>
  <si>
    <t xml:space="preserve">Mogadouro</t>
  </si>
  <si>
    <t xml:space="preserve">Moimenta da Beira</t>
  </si>
  <si>
    <t xml:space="preserve">Monforte</t>
  </si>
  <si>
    <t xml:space="preserve">Moura</t>
  </si>
  <si>
    <t xml:space="preserve">Mértola</t>
  </si>
  <si>
    <t xml:space="preserve">Nazaré</t>
  </si>
  <si>
    <t xml:space="preserve">Oliveira de Frades</t>
  </si>
  <si>
    <t xml:space="preserve">Oliveira do Hospital</t>
  </si>
  <si>
    <t xml:space="preserve">Penacova</t>
  </si>
  <si>
    <t xml:space="preserve">Portalegre</t>
  </si>
  <si>
    <t xml:space="preserve">Portel</t>
  </si>
  <si>
    <t xml:space="preserve">Reguengos de Monsaraz</t>
  </si>
  <si>
    <t xml:space="preserve">Resende</t>
  </si>
  <si>
    <t xml:space="preserve">Santo Tirso</t>
  </si>
  <si>
    <t xml:space="preserve">Sardoal</t>
  </si>
  <si>
    <t xml:space="preserve">Sernancelhe</t>
  </si>
  <si>
    <t xml:space="preserve">Silves</t>
  </si>
  <si>
    <t xml:space="preserve">Sousel</t>
  </si>
  <si>
    <t xml:space="preserve">São João da Madeira</t>
  </si>
  <si>
    <t xml:space="preserve">Terras de Bouro</t>
  </si>
  <si>
    <t xml:space="preserve">Vila Real de Santo António</t>
  </si>
  <si>
    <t xml:space="preserve">Vila do Conde</t>
  </si>
  <si>
    <t xml:space="preserve">Recolhidos 2025</t>
  </si>
  <si>
    <t xml:space="preserve">Taxa de occisão (occisões / recolhidos)</t>
  </si>
  <si>
    <t xml:space="preserve">Taxa considerada (recolhidos ≥ mínimo)</t>
  </si>
  <si>
    <t xml:space="preserve">Mínimo de recolhidos para entrar na comparação</t>
  </si>
  <si>
    <t xml:space="preserve">Taxa nacional das restantes entidades (total de occisões / total de recolhidos)</t>
  </si>
  <si>
    <t xml:space="preserve">Média das taxas (entidades com recolhidos ≥ mínimo)</t>
  </si>
  <si>
    <t xml:space="preserve">Mediana das taxas (entidades com recolhidos ≥ mínimo)</t>
  </si>
  <si>
    <t xml:space="preserve">Taxa de occisão do CIRAE</t>
  </si>
  <si>
    <t xml:space="preserve">CIRAE em relação à taxa nacional (n.º de vezes)</t>
  </si>
  <si>
    <t xml:space="preserve">Posição do CIRAE (1 = taxa mais alta)</t>
  </si>
  <si>
    <t xml:space="preserve">N.º de entidades comparadas (incluindo o CIRAE)</t>
  </si>
  <si>
    <t xml:space="preserve">A taxa mede as occisões por cada animal recolhido. Retira o efeito da dimensão: Lisboa tem 122 occisões em 2 554 recolhidos (4,8 %), perto da taxa nacional.</t>
  </si>
  <si>
    <t xml:space="preserve">A taxa nacional é ponderada (soma das occisões a dividir pela soma dos recolhidos). A média e a mediana tratam cada entidade por igual e só contam as entidades com o mínimo de recolhidos da célula H2.</t>
  </si>
  <si>
    <t xml:space="preserve">Os animais occisados num ano podem ter entrado no ano anterior. A taxa é um indicador anual e não um seguimento animal a animal.</t>
  </si>
  <si>
    <t xml:space="preserve">Os municípios do CIRAE com mais atividade têm também taxas altas em separado: ver a folha «Composição CIRAE».</t>
  </si>
  <si>
    <t xml:space="preserve">Recolhidos</t>
  </si>
  <si>
    <t xml:space="preserve">Occisões</t>
  </si>
  <si>
    <t xml:space="preserve">Taxa</t>
  </si>
  <si>
    <t xml:space="preserve">Incluída (1 = sim)</t>
  </si>
  <si>
    <t xml:space="preserve">z</t>
  </si>
  <si>
    <t xml:space="preserve">z winsorizado</t>
  </si>
  <si>
    <t xml:space="preserve">z ajustado (φ)</t>
  </si>
  <si>
    <t xml:space="preserve">Peso w</t>
  </si>
  <si>
    <t xml:space="preserve">w·(taxa − p0)²</t>
  </si>
  <si>
    <t xml:space="preserve">w²</t>
  </si>
  <si>
    <t xml:space="preserve">z efeitos aleatórios</t>
  </si>
  <si>
    <t xml:space="preserve">p unilateral (φ)</t>
  </si>
  <si>
    <t xml:space="preserve">Acima do limite 99,8 % (φ)</t>
  </si>
  <si>
    <t xml:space="preserve">Parâmetros</t>
  </si>
  <si>
    <t xml:space="preserve">n (recolhidos)</t>
  </si>
  <si>
    <t xml:space="preserve">Referência p0</t>
  </si>
  <si>
    <t xml:space="preserve">Limite 95 % sup. (φ)</t>
  </si>
  <si>
    <t xml:space="preserve">Limite 99,8 % sup. (φ)</t>
  </si>
  <si>
    <t xml:space="preserve">Limite 95 % inf. (φ)</t>
  </si>
  <si>
    <t xml:space="preserve">Limite 99,8 % inf. (φ)</t>
  </si>
  <si>
    <t xml:space="preserve">Mínimo de recolhidos (folha «Taxa de occisão», H2)</t>
  </si>
  <si>
    <t xml:space="preserve">N.º de entidades no teste (k)</t>
  </si>
  <si>
    <t xml:space="preserve">Taxa de referência p0 (total de occisões / total de recolhidos)</t>
  </si>
  <si>
    <t xml:space="preserve">Percentil 10 de z (winsorização)</t>
  </si>
  <si>
    <t xml:space="preserve">Percentil 90 de z (winsorização)</t>
  </si>
  <si>
    <t xml:space="preserve">Fator de sobredispersão φ (média de z² winsorizados)</t>
  </si>
  <si>
    <t xml:space="preserve">Q de heterogeneidade</t>
  </si>
  <si>
    <t xml:space="preserve">Soma dos pesos Σw</t>
  </si>
  <si>
    <t xml:space="preserve">Soma dos pesos ao quadrado Σw²</t>
  </si>
  <si>
    <t xml:space="preserve">Variância entre entidades τ² (DerSimonian-Laird)</t>
  </si>
  <si>
    <t xml:space="preserve">Desvio-padrão entre entidades τ</t>
  </si>
  <si>
    <t xml:space="preserve">z do limite de 95 %</t>
  </si>
  <si>
    <t xml:space="preserve">z do limite de 99,8 %</t>
  </si>
  <si>
    <t xml:space="preserve">z crítico com correção de Bonferroni (k testes, α = 0,05)</t>
  </si>
  <si>
    <t xml:space="preserve">RESULTADOS PARA O CIRAE</t>
  </si>
  <si>
    <t xml:space="preserve">Occisões observadas</t>
  </si>
  <si>
    <t xml:space="preserve">Animais recolhidos</t>
  </si>
  <si>
    <t xml:space="preserve">Occisões esperadas à taxa de referência</t>
  </si>
  <si>
    <t xml:space="preserve">Razão observado / esperado</t>
  </si>
  <si>
    <t xml:space="preserve">1. Teste binomial exato: p = P(X ≥ observado)</t>
  </si>
  <si>
    <t xml:space="preserve">2. Risco relativo face às restantes entidades</t>
  </si>
  <si>
    <t xml:space="preserve">   IC 95 % do risco relativo, limite inferior</t>
  </si>
  <si>
    <t xml:space="preserve">   IC 95 % do risco relativo, limite superior</t>
  </si>
  <si>
    <t xml:space="preserve">3. Funil com sobredispersão: z ajustado (φ)</t>
  </si>
  <si>
    <t xml:space="preserve">   p unilateral</t>
  </si>
  <si>
    <t xml:space="preserve">4. Efeitos aleatórios (τ²): z</t>
  </si>
  <si>
    <t xml:space="preserve">Acima do limite de 99,8 % no funil ajustado?</t>
  </si>
  <si>
    <t xml:space="preserve">Acima do z de Bonferroni nos testes 3 e 4?</t>
  </si>
  <si>
    <t xml:space="preserve">Posição do CIRAE pelo z ajustado (1 = mais extremo)</t>
  </si>
  <si>
    <t xml:space="preserve">Posição do CIRAE pelo z de efeitos aleatórios</t>
  </si>
  <si>
    <t xml:space="preserve">SENSIBILIDADE (z ajustado por φ)</t>
  </si>
  <si>
    <t xml:space="preserve">Números divulgados à Lusa (97 occisões em 259 entradas)</t>
  </si>
  <si>
    <t xml:space="preserve">Sertã sozinha</t>
  </si>
  <si>
    <t xml:space="preserve">Proença-a-Nova sozinha</t>
  </si>
  <si>
    <t xml:space="preserve">Mação sozinha</t>
  </si>
  <si>
    <t xml:space="preserve">Como ler esta folha</t>
  </si>
  <si>
    <t xml:space="preserve">Pergunta: a taxa de occisão do CIRAE pode explicar-se por acaso, se o CIRAE tivesse a mesma taxa das restantes entidades? Cada teste dá a probabilidade (p) de observar uma taxa tão alta só por acaso. Quanto menor o p, menos plausível é o acaso.</t>
  </si>
  <si>
    <t xml:space="preserve">1. Teste binomial exato: compara as occisões observadas com as esperadas à taxa de referência. É o teste mais simples, mas assume que todas as entidades têm a mesma taxa de base.</t>
  </si>
  <si>
    <t xml:space="preserve">2. Risco relativo: quantas vezes a taxa do CIRAE excede a das restantes entidades em conjunto, com intervalo de confiança a 95 %.</t>
  </si>
  <si>
    <t xml:space="preserve">3. Gráfico de funil com sobredispersão (Spiegelhalter, 2005): os limites estreitam com o n.º de recolhidos e são alargados pelo fator φ, que mede a variação real entre CRO para lá do acaso. Um ponto acima do limite de 99,8 % é um valor atípico. É o método usado para comparar hospitais e serviços públicos de dimensões diferentes.</t>
  </si>
  <si>
    <t xml:space="preserve">4. Efeitos aleatórios (DerSimonian e Laird, 1986): alternativa mais conservadora, que soma uma variância entre entidades (τ²) à variância de cada uma. A correção de Bonferroni tem em conta que se compararam k entidades e não só o CIRAE.</t>
  </si>
  <si>
    <t xml:space="preserve">Limites: o teste mostra que a taxa do CIRAE não é compatível com a variação normal entre CRO. Não diz porquê. Pode haver causas legítimas (mais animais doentes ou agressivos, registo diferente das occisões noutros CRO) ou incumprimento. Os dados são os declarados pelos municípios e há entidades sem dados (NF).</t>
  </si>
  <si>
    <t xml:space="preserve">Referências: Spiegelhalter, D. J. (2005), Funnel plots for comparing institutional performance, Statistics in Medicine, 24(8), 1185-1202. Spiegelhalter, D. J. (2005), Handling over-dispersion of performance indicators, Quality and Safety in Health Care, 14(5), 347-351. DerSimonian, R., Laird, N. (1986), Meta-analysis in clinical trials, Controlled Clinical Trials, 7(3), 177-188.</t>
  </si>
  <si>
    <t xml:space="preserve">k (n.º de occisões)</t>
  </si>
  <si>
    <t xml:space="preserve">P(X = k), só para k ≥ observado</t>
  </si>
  <si>
    <t xml:space="preserve">n (recolhidos do CIRAE)</t>
  </si>
  <si>
    <t xml:space="preserve">Observado (occisões do CIRAE)</t>
  </si>
  <si>
    <t xml:space="preserve">p0 (taxa de referência)</t>
  </si>
  <si>
    <t xml:space="preserve">Soma = P(X ≥ observado)</t>
  </si>
  <si>
    <t xml:space="preserve">Folha auxiliar: soma as probabilidades binomiais de k = observado até n. Cobre n até 400.</t>
  </si>
  <si>
    <t xml:space="preserve">Município (CIRAE)</t>
  </si>
  <si>
    <t xml:space="preserve">Taxa de occisão</t>
  </si>
  <si>
    <t xml:space="preserve">Origem no relatório</t>
  </si>
  <si>
    <t xml:space="preserve">Nota</t>
  </si>
  <si>
    <t xml:space="preserve">Proença-a-Nova</t>
  </si>
  <si>
    <t xml:space="preserve">Tabela 1</t>
  </si>
  <si>
    <t xml:space="preserve">Mação</t>
  </si>
  <si>
    <t xml:space="preserve">Sertã</t>
  </si>
  <si>
    <t xml:space="preserve">Oleiros</t>
  </si>
  <si>
    <t xml:space="preserve">Vila de Rei</t>
  </si>
  <si>
    <t xml:space="preserve">Vila Velha de Rodão</t>
  </si>
  <si>
    <t xml:space="preserve">«NF» (não facultado) nas duas colunas; conta como 0 nas somas</t>
  </si>
  <si>
    <t xml:space="preserve">Nisa</t>
  </si>
  <si>
    <t xml:space="preserve">Ferreira do Zêzere</t>
  </si>
  <si>
    <t xml:space="preserve">Idanha-a-Nova</t>
  </si>
  <si>
    <t xml:space="preserve">Tabela 2 (município sem CRO registado)</t>
  </si>
  <si>
    <t xml:space="preserve">Penamacor</t>
  </si>
  <si>
    <t xml:space="preserve">Pampilhosa da Serra</t>
  </si>
  <si>
    <t xml:space="preserve">Occisões em branco no relatório; conta como 0 na soma</t>
  </si>
  <si>
    <t xml:space="preserve">Total CIRAE (11 municípios)</t>
  </si>
  <si>
    <t xml:space="preserve">Municípios: lista da notícia da Lusa de 22.8.2026 e Regulamento n.º 164/2022 (Gavião e Ourém já não integram o CIRAE). Ferreira do Zêzere tem também protocolo com Tomar (lista de CRO da DGAV de 4.8.2026).</t>
  </si>
  <si>
    <t xml:space="preserve">Fonte: DGAV, Relatório de atividade dos Centros de Recolha Oficial, ano 2025 (31.3.2026), Tabela 1, colunas «Animais Recolhidos» e «Animais Eutanasiados». https://www.dgav.pt/wp-content/uploads/2026/03/Relatorio_CROs_2025_31032026-rev.pdf Tabela 2 para Idanha-a-Nova, Penamacor e Pampilhosa da Serra.</t>
  </si>
</sst>
</file>

<file path=xl/styles.xml><?xml version="1.0" encoding="utf-8"?>
<styleSheet xmlns="http://schemas.openxmlformats.org/spreadsheetml/2006/main">
  <numFmts count="13">
    <numFmt numFmtId="164" formatCode="General"/>
    <numFmt numFmtId="165" formatCode="General"/>
    <numFmt numFmtId="166" formatCode="0.0"/>
    <numFmt numFmtId="167" formatCode="0"/>
    <numFmt numFmtId="168" formatCode="0.0\x"/>
    <numFmt numFmtId="169" formatCode="0.0%"/>
    <numFmt numFmtId="170" formatCode="0.00"/>
    <numFmt numFmtId="171" formatCode="0.0E+00"/>
    <numFmt numFmtId="172" formatCode="0.00%"/>
    <numFmt numFmtId="173" formatCode="0.00000"/>
    <numFmt numFmtId="174" formatCode="0.000"/>
    <numFmt numFmtId="175" formatCode="0%"/>
    <numFmt numFmtId="176" formatCode="0.00E+00"/>
  </numFmts>
  <fonts count="13">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b val="true"/>
      <sz val="11"/>
      <color rgb="FF008000"/>
      <name val="Arial"/>
      <family val="0"/>
      <charset val="1"/>
    </font>
    <font>
      <sz val="11"/>
      <color rgb="FF0000FF"/>
      <name val="Arial"/>
      <family val="0"/>
      <charset val="1"/>
    </font>
    <font>
      <sz val="10"/>
      <name val="Arial"/>
      <family val="2"/>
    </font>
    <font>
      <sz val="11"/>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D9E1F2"/>
        <bgColor rgb="FFD9D9D9"/>
      </patternFill>
    </fill>
    <fill>
      <patternFill patternType="solid">
        <fgColor rgb="FFFFF2CC"/>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3" borderId="1" xfId="0" applyFont="true" applyBorder="true" applyAlignment="false" applyProtection="false">
      <alignment horizontal="general" vertical="bottom" textRotation="0" wrapText="false" indent="0" shrinkToFit="false"/>
      <protection locked="true" hidden="false"/>
    </xf>
    <xf numFmtId="165" fontId="6"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8" fontId="4" fillId="0" borderId="1" xfId="0" applyFont="true" applyBorder="true" applyAlignment="false" applyProtection="false">
      <alignment horizontal="general" vertical="bottom" textRotation="0" wrapText="false" indent="0" shrinkToFit="false"/>
      <protection locked="true" hidden="false"/>
    </xf>
    <xf numFmtId="169" fontId="4" fillId="0"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9" fontId="4"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9" fontId="5" fillId="3"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70" fontId="5" fillId="3" borderId="1" xfId="0" applyFont="true" applyBorder="true" applyAlignment="false" applyProtection="false">
      <alignment horizontal="general" vertical="bottom" textRotation="0" wrapText="false" indent="0" shrinkToFit="false"/>
      <protection locked="true" hidden="false"/>
    </xf>
    <xf numFmtId="171" fontId="5" fillId="3"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4" fontId="7" fillId="0"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center" textRotation="0" wrapText="true" indent="0" shrinkToFit="false"/>
      <protection locked="true" hidden="false"/>
    </xf>
    <xf numFmtId="171" fontId="4" fillId="3" borderId="1" xfId="0" applyFont="true" applyBorder="true" applyAlignment="false" applyProtection="false">
      <alignment horizontal="general" vertical="bottom" textRotation="0" wrapText="false" indent="0" shrinkToFit="false"/>
      <protection locked="true" hidden="false"/>
    </xf>
    <xf numFmtId="170" fontId="4" fillId="0" borderId="1" xfId="0" applyFont="true" applyBorder="true" applyAlignment="false" applyProtection="false">
      <alignment horizontal="general" vertical="bottom" textRotation="0" wrapText="false" indent="0" shrinkToFit="false"/>
      <protection locked="true" hidden="false"/>
    </xf>
    <xf numFmtId="170" fontId="4" fillId="3" borderId="1" xfId="0" applyFont="true" applyBorder="true" applyAlignment="false" applyProtection="false">
      <alignment horizontal="general" vertical="bottom" textRotation="0" wrapText="false" indent="0" shrinkToFit="false"/>
      <protection locked="true" hidden="false"/>
    </xf>
    <xf numFmtId="171" fontId="4"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71" fontId="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2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F75B5"/>
      <rgbColor rgb="FF33CCCC"/>
      <rgbColor rgb="FF99CC00"/>
      <rgbColor rgb="FFFFCC00"/>
      <rgbColor rgb="FFFF9900"/>
      <rgbColor rgb="FFFF6600"/>
      <rgbColor rgb="FF878787"/>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Gráfico de funil: taxa de occisão por n.º de animais recolhidos (2025)</a:t>
            </a:r>
          </a:p>
        </c:rich>
      </c:tx>
      <c:overlay val="0"/>
      <c:spPr>
        <a:noFill/>
        <a:ln w="0">
          <a:noFill/>
        </a:ln>
      </c:spPr>
    </c:title>
    <c:autoTitleDeleted val="0"/>
    <c:plotArea>
      <c:scatterChart>
        <c:scatterStyle val="lineMarker"/>
        <c:varyColors val="0"/>
        <c:ser>
          <c:idx val="0"/>
          <c:order val="0"/>
          <c:tx>
            <c:strRef>
              <c:f>"Restantes entidades"</c:f>
              <c:strCache>
                <c:ptCount val="1"/>
                <c:pt idx="0">
                  <c:v>Restantes entidades</c:v>
                </c:pt>
              </c:strCache>
            </c:strRef>
          </c:tx>
          <c:spPr>
            <a:solidFill>
              <a:srgbClr val="7f7f7f"/>
            </a:solidFill>
            <a:ln w="47520">
              <a:noFill/>
            </a:ln>
          </c:spPr>
          <c:marker>
            <c:symbol val="circle"/>
            <c:size val="5"/>
            <c:spPr>
              <a:solidFill>
                <a:srgbClr val="7f7f7f"/>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'Teste estatístico'!$B$3:$B$169</c:f>
              <c:numCache>
                <c:formatCode>General</c:formatCode>
                <c:ptCount val="167"/>
                <c:pt idx="0">
                  <c:v>2</c:v>
                </c:pt>
                <c:pt idx="1">
                  <c:v>75</c:v>
                </c:pt>
                <c:pt idx="2">
                  <c:v>54</c:v>
                </c:pt>
                <c:pt idx="3">
                  <c:v>10</c:v>
                </c:pt>
                <c:pt idx="4">
                  <c:v>38</c:v>
                </c:pt>
                <c:pt idx="5">
                  <c:v>121</c:v>
                </c:pt>
                <c:pt idx="6">
                  <c:v>234</c:v>
                </c:pt>
                <c:pt idx="7">
                  <c:v>23</c:v>
                </c:pt>
                <c:pt idx="8">
                  <c:v>71</c:v>
                </c:pt>
                <c:pt idx="9">
                  <c:v>5</c:v>
                </c:pt>
                <c:pt idx="10">
                  <c:v>491</c:v>
                </c:pt>
                <c:pt idx="11">
                  <c:v>29</c:v>
                </c:pt>
                <c:pt idx="12">
                  <c:v>141</c:v>
                </c:pt>
                <c:pt idx="13">
                  <c:v>71</c:v>
                </c:pt>
                <c:pt idx="14">
                  <c:v>21</c:v>
                </c:pt>
                <c:pt idx="15">
                  <c:v>475</c:v>
                </c:pt>
                <c:pt idx="16">
                  <c:v>59</c:v>
                </c:pt>
                <c:pt idx="17">
                  <c:v>367</c:v>
                </c:pt>
                <c:pt idx="18">
                  <c:v>54</c:v>
                </c:pt>
                <c:pt idx="19">
                  <c:v>8</c:v>
                </c:pt>
                <c:pt idx="20">
                  <c:v>228</c:v>
                </c:pt>
                <c:pt idx="21">
                  <c:v>154</c:v>
                </c:pt>
                <c:pt idx="22">
                  <c:v>27</c:v>
                </c:pt>
                <c:pt idx="23">
                  <c:v>55</c:v>
                </c:pt>
                <c:pt idx="24">
                  <c:v>312</c:v>
                </c:pt>
                <c:pt idx="25">
                  <c:v>616</c:v>
                </c:pt>
                <c:pt idx="26">
                  <c:v>19</c:v>
                </c:pt>
                <c:pt idx="27">
                  <c:v>166</c:v>
                </c:pt>
                <c:pt idx="28">
                  <c:v>147</c:v>
                </c:pt>
                <c:pt idx="29">
                  <c:v>10</c:v>
                </c:pt>
                <c:pt idx="30">
                  <c:v>30</c:v>
                </c:pt>
                <c:pt idx="31">
                  <c:v>62</c:v>
                </c:pt>
                <c:pt idx="32">
                  <c:v>31</c:v>
                </c:pt>
                <c:pt idx="33">
                  <c:v>63</c:v>
                </c:pt>
                <c:pt idx="34">
                  <c:v>141</c:v>
                </c:pt>
                <c:pt idx="35">
                  <c:v>33</c:v>
                </c:pt>
                <c:pt idx="36">
                  <c:v>243</c:v>
                </c:pt>
                <c:pt idx="37">
                  <c:v>91</c:v>
                </c:pt>
                <c:pt idx="38">
                  <c:v>200</c:v>
                </c:pt>
                <c:pt idx="39">
                  <c:v>59</c:v>
                </c:pt>
                <c:pt idx="40">
                  <c:v>71</c:v>
                </c:pt>
                <c:pt idx="41">
                  <c:v>323</c:v>
                </c:pt>
                <c:pt idx="42">
                  <c:v>375</c:v>
                </c:pt>
                <c:pt idx="43">
                  <c:v>13</c:v>
                </c:pt>
                <c:pt idx="44">
                  <c:v>370</c:v>
                </c:pt>
                <c:pt idx="45">
                  <c:v>669</c:v>
                </c:pt>
                <c:pt idx="46">
                  <c:v>178</c:v>
                </c:pt>
                <c:pt idx="47">
                  <c:v>14</c:v>
                </c:pt>
                <c:pt idx="48">
                  <c:v>99</c:v>
                </c:pt>
                <c:pt idx="49">
                  <c:v>588</c:v>
                </c:pt>
                <c:pt idx="50">
                  <c:v>133</c:v>
                </c:pt>
                <c:pt idx="51">
                  <c:v>194</c:v>
                </c:pt>
                <c:pt idx="52">
                  <c:v>875</c:v>
                </c:pt>
                <c:pt idx="53">
                  <c:v>253</c:v>
                </c:pt>
                <c:pt idx="54">
                  <c:v>32</c:v>
                </c:pt>
                <c:pt idx="55">
                  <c:v>269</c:v>
                </c:pt>
                <c:pt idx="56">
                  <c:v>119</c:v>
                </c:pt>
                <c:pt idx="57">
                  <c:v>499</c:v>
                </c:pt>
                <c:pt idx="58">
                  <c:v>70</c:v>
                </c:pt>
                <c:pt idx="59">
                  <c:v>181</c:v>
                </c:pt>
                <c:pt idx="60">
                  <c:v>493</c:v>
                </c:pt>
                <c:pt idx="61">
                  <c:v>287</c:v>
                </c:pt>
                <c:pt idx="62">
                  <c:v>195</c:v>
                </c:pt>
                <c:pt idx="63">
                  <c:v>158</c:v>
                </c:pt>
                <c:pt idx="64">
                  <c:v>99</c:v>
                </c:pt>
                <c:pt idx="65">
                  <c:v>20</c:v>
                </c:pt>
                <c:pt idx="66">
                  <c:v>20</c:v>
                </c:pt>
                <c:pt idx="67">
                  <c:v>2554</c:v>
                </c:pt>
                <c:pt idx="68">
                  <c:v>105</c:v>
                </c:pt>
                <c:pt idx="69">
                  <c:v>254</c:v>
                </c:pt>
                <c:pt idx="70">
                  <c:v>44</c:v>
                </c:pt>
                <c:pt idx="71">
                  <c:v>22</c:v>
                </c:pt>
                <c:pt idx="72">
                  <c:v>114</c:v>
                </c:pt>
                <c:pt idx="73">
                  <c:v>671</c:v>
                </c:pt>
                <c:pt idx="74">
                  <c:v>214</c:v>
                </c:pt>
                <c:pt idx="75">
                  <c:v>385</c:v>
                </c:pt>
                <c:pt idx="76">
                  <c:v>74</c:v>
                </c:pt>
                <c:pt idx="77">
                  <c:v>324</c:v>
                </c:pt>
                <c:pt idx="78">
                  <c:v>1081</c:v>
                </c:pt>
                <c:pt idx="79">
                  <c:v>333</c:v>
                </c:pt>
                <c:pt idx="80">
                  <c:v>283</c:v>
                </c:pt>
                <c:pt idx="81">
                  <c:v>79</c:v>
                </c:pt>
                <c:pt idx="82">
                  <c:v>642</c:v>
                </c:pt>
                <c:pt idx="83">
                  <c:v>647</c:v>
                </c:pt>
                <c:pt idx="84">
                  <c:v>54</c:v>
                </c:pt>
                <c:pt idx="85">
                  <c:v>192</c:v>
                </c:pt>
                <c:pt idx="86">
                  <c:v>131</c:v>
                </c:pt>
                <c:pt idx="87">
                  <c:v>510</c:v>
                </c:pt>
                <c:pt idx="88">
                  <c:v>137</c:v>
                </c:pt>
                <c:pt idx="89">
                  <c:v>172</c:v>
                </c:pt>
                <c:pt idx="90">
                  <c:v>1511</c:v>
                </c:pt>
                <c:pt idx="91">
                  <c:v>640</c:v>
                </c:pt>
                <c:pt idx="92">
                  <c:v>154</c:v>
                </c:pt>
                <c:pt idx="93">
                  <c:v>946</c:v>
                </c:pt>
                <c:pt idx="94">
                  <c:v>86</c:v>
                </c:pt>
                <c:pt idx="95">
                  <c:v>258</c:v>
                </c:pt>
                <c:pt idx="96">
                  <c:v>432</c:v>
                </c:pt>
                <c:pt idx="97">
                  <c:v>137</c:v>
                </c:pt>
                <c:pt idx="98">
                  <c:v>184</c:v>
                </c:pt>
                <c:pt idx="99">
                  <c:v>93</c:v>
                </c:pt>
                <c:pt idx="100">
                  <c:v>552</c:v>
                </c:pt>
                <c:pt idx="101">
                  <c:v>104</c:v>
                </c:pt>
                <c:pt idx="102">
                  <c:v>226</c:v>
                </c:pt>
                <c:pt idx="103">
                  <c:v>799</c:v>
                </c:pt>
                <c:pt idx="104">
                  <c:v>410</c:v>
                </c:pt>
                <c:pt idx="105">
                  <c:v>721</c:v>
                </c:pt>
                <c:pt idx="106">
                  <c:v>126</c:v>
                </c:pt>
                <c:pt idx="107">
                  <c:v>66</c:v>
                </c:pt>
                <c:pt idx="108">
                  <c:v>73</c:v>
                </c:pt>
                <c:pt idx="109">
                  <c:v>161</c:v>
                </c:pt>
                <c:pt idx="110">
                  <c:v>87</c:v>
                </c:pt>
                <c:pt idx="111">
                  <c:v>93</c:v>
                </c:pt>
                <c:pt idx="112">
                  <c:v>216</c:v>
                </c:pt>
                <c:pt idx="113">
                  <c:v>220</c:v>
                </c:pt>
                <c:pt idx="114">
                  <c:v>117</c:v>
                </c:pt>
                <c:pt idx="115">
                  <c:v>354</c:v>
                </c:pt>
                <c:pt idx="116">
                  <c:v>1022</c:v>
                </c:pt>
                <c:pt idx="117">
                  <c:v>147</c:v>
                </c:pt>
                <c:pt idx="118">
                  <c:v>155</c:v>
                </c:pt>
                <c:pt idx="119">
                  <c:v>832</c:v>
                </c:pt>
                <c:pt idx="120">
                  <c:v>420</c:v>
                </c:pt>
                <c:pt idx="121">
                  <c:v>1065</c:v>
                </c:pt>
                <c:pt idx="122">
                  <c:v>1128</c:v>
                </c:pt>
                <c:pt idx="123">
                  <c:v>324</c:v>
                </c:pt>
                <c:pt idx="124">
                  <c:v>52</c:v>
                </c:pt>
                <c:pt idx="125">
                  <c:v>27</c:v>
                </c:pt>
                <c:pt idx="126">
                  <c:v>164</c:v>
                </c:pt>
                <c:pt idx="127">
                  <c:v>7</c:v>
                </c:pt>
                <c:pt idx="128">
                  <c:v>24</c:v>
                </c:pt>
                <c:pt idx="129">
                  <c:v>27</c:v>
                </c:pt>
                <c:pt idx="130">
                  <c:v>15</c:v>
                </c:pt>
                <c:pt idx="131">
                  <c:v>29</c:v>
                </c:pt>
                <c:pt idx="132">
                  <c:v>302</c:v>
                </c:pt>
                <c:pt idx="133">
                  <c:v>115</c:v>
                </c:pt>
                <c:pt idx="134">
                  <c:v>19</c:v>
                </c:pt>
                <c:pt idx="135">
                  <c:v>16</c:v>
                </c:pt>
                <c:pt idx="136">
                  <c:v>34</c:v>
                </c:pt>
                <c:pt idx="137">
                  <c:v>1051</c:v>
                </c:pt>
                <c:pt idx="138">
                  <c:v>17</c:v>
                </c:pt>
                <c:pt idx="139">
                  <c:v>91</c:v>
                </c:pt>
                <c:pt idx="140">
                  <c:v>4</c:v>
                </c:pt>
                <c:pt idx="141">
                  <c:v>249</c:v>
                </c:pt>
                <c:pt idx="142">
                  <c:v>90</c:v>
                </c:pt>
                <c:pt idx="143">
                  <c:v>272</c:v>
                </c:pt>
                <c:pt idx="144">
                  <c:v>71</c:v>
                </c:pt>
                <c:pt idx="145">
                  <c:v>20</c:v>
                </c:pt>
                <c:pt idx="146">
                  <c:v>54</c:v>
                </c:pt>
                <c:pt idx="147">
                  <c:v>34</c:v>
                </c:pt>
                <c:pt idx="148">
                  <c:v>28</c:v>
                </c:pt>
                <c:pt idx="149">
                  <c:v>3</c:v>
                </c:pt>
                <c:pt idx="150">
                  <c:v>95</c:v>
                </c:pt>
                <c:pt idx="151">
                  <c:v>92</c:v>
                </c:pt>
                <c:pt idx="152">
                  <c:v>6</c:v>
                </c:pt>
                <c:pt idx="153">
                  <c:v>278</c:v>
                </c:pt>
                <c:pt idx="154">
                  <c:v>84</c:v>
                </c:pt>
                <c:pt idx="155">
                  <c:v>44</c:v>
                </c:pt>
                <c:pt idx="156">
                  <c:v>21</c:v>
                </c:pt>
                <c:pt idx="157">
                  <c:v>93</c:v>
                </c:pt>
                <c:pt idx="158">
                  <c:v>228</c:v>
                </c:pt>
                <c:pt idx="159">
                  <c:v>315</c:v>
                </c:pt>
                <c:pt idx="160">
                  <c:v>7</c:v>
                </c:pt>
                <c:pt idx="161">
                  <c:v>463</c:v>
                </c:pt>
                <c:pt idx="162">
                  <c:v>3</c:v>
                </c:pt>
                <c:pt idx="163">
                  <c:v>20</c:v>
                </c:pt>
                <c:pt idx="164">
                  <c:v>158</c:v>
                </c:pt>
                <c:pt idx="165">
                  <c:v>293</c:v>
                </c:pt>
                <c:pt idx="166">
                  <c:v>280</c:v>
                </c:pt>
              </c:numCache>
            </c:numRef>
          </c:xVal>
          <c:yVal>
            <c:numRef>
              <c:f>'Teste estatístico'!$D$3:$D$169</c:f>
              <c:numCache>
                <c:formatCode>0.0%</c:formatCode>
                <c:ptCount val="167"/>
                <c:pt idx="0">
                  <c:v>0.5</c:v>
                </c:pt>
                <c:pt idx="1">
                  <c:v>0.4</c:v>
                </c:pt>
                <c:pt idx="2">
                  <c:v>0.351851851851852</c:v>
                </c:pt>
                <c:pt idx="3">
                  <c:v>0.3</c:v>
                </c:pt>
                <c:pt idx="4">
                  <c:v>0.289473684210526</c:v>
                </c:pt>
                <c:pt idx="5">
                  <c:v>0.28099173553719</c:v>
                </c:pt>
                <c:pt idx="6">
                  <c:v>0.269230769230769</c:v>
                </c:pt>
                <c:pt idx="7">
                  <c:v>0.260869565217391</c:v>
                </c:pt>
                <c:pt idx="8">
                  <c:v>0.225352112676056</c:v>
                </c:pt>
                <c:pt idx="9">
                  <c:v>0.2</c:v>
                </c:pt>
                <c:pt idx="10">
                  <c:v>0.175152749490835</c:v>
                </c:pt>
                <c:pt idx="11">
                  <c:v>0.172413793103448</c:v>
                </c:pt>
                <c:pt idx="12">
                  <c:v>0.170212765957447</c:v>
                </c:pt>
                <c:pt idx="13">
                  <c:v>0.154929577464789</c:v>
                </c:pt>
                <c:pt idx="14">
                  <c:v>0.142857142857143</c:v>
                </c:pt>
                <c:pt idx="15">
                  <c:v>0.136842105263158</c:v>
                </c:pt>
                <c:pt idx="16">
                  <c:v>0.135593220338983</c:v>
                </c:pt>
                <c:pt idx="17">
                  <c:v>0.133514986376022</c:v>
                </c:pt>
                <c:pt idx="18">
                  <c:v>0.12962962962963</c:v>
                </c:pt>
                <c:pt idx="19">
                  <c:v>0.125</c:v>
                </c:pt>
                <c:pt idx="20">
                  <c:v>0.118421052631579</c:v>
                </c:pt>
                <c:pt idx="21">
                  <c:v>0.116883116883117</c:v>
                </c:pt>
                <c:pt idx="22">
                  <c:v>0.111111111111111</c:v>
                </c:pt>
                <c:pt idx="23">
                  <c:v>0.109090909090909</c:v>
                </c:pt>
                <c:pt idx="24">
                  <c:v>0.108974358974359</c:v>
                </c:pt>
                <c:pt idx="25">
                  <c:v>0.105519480519481</c:v>
                </c:pt>
                <c:pt idx="26">
                  <c:v>0.105263157894737</c:v>
                </c:pt>
                <c:pt idx="27">
                  <c:v>0.102409638554217</c:v>
                </c:pt>
                <c:pt idx="28">
                  <c:v>0.102040816326531</c:v>
                </c:pt>
                <c:pt idx="29">
                  <c:v>0.1</c:v>
                </c:pt>
                <c:pt idx="30">
                  <c:v>0.1</c:v>
                </c:pt>
                <c:pt idx="31">
                  <c:v>0.0967741935483871</c:v>
                </c:pt>
                <c:pt idx="32">
                  <c:v>0.0967741935483871</c:v>
                </c:pt>
                <c:pt idx="33">
                  <c:v>0.0952380952380952</c:v>
                </c:pt>
                <c:pt idx="34">
                  <c:v>0.0921985815602837</c:v>
                </c:pt>
                <c:pt idx="35">
                  <c:v>0.0909090909090909</c:v>
                </c:pt>
                <c:pt idx="36">
                  <c:v>0.0905349794238683</c:v>
                </c:pt>
                <c:pt idx="37">
                  <c:v>0.0879120879120879</c:v>
                </c:pt>
                <c:pt idx="38">
                  <c:v>0.085</c:v>
                </c:pt>
                <c:pt idx="39">
                  <c:v>0.0847457627118644</c:v>
                </c:pt>
                <c:pt idx="40">
                  <c:v>0.0845070422535211</c:v>
                </c:pt>
                <c:pt idx="41">
                  <c:v>0.0835913312693498</c:v>
                </c:pt>
                <c:pt idx="42">
                  <c:v>0.0773333333333333</c:v>
                </c:pt>
                <c:pt idx="43">
                  <c:v>0.0769230769230769</c:v>
                </c:pt>
                <c:pt idx="44">
                  <c:v>0.0756756756756757</c:v>
                </c:pt>
                <c:pt idx="45">
                  <c:v>0.0747384155455904</c:v>
                </c:pt>
                <c:pt idx="46">
                  <c:v>0.0730337078651685</c:v>
                </c:pt>
                <c:pt idx="47">
                  <c:v>0.0714285714285714</c:v>
                </c:pt>
                <c:pt idx="48">
                  <c:v>0.0707070707070707</c:v>
                </c:pt>
                <c:pt idx="49">
                  <c:v>0.0697278911564626</c:v>
                </c:pt>
                <c:pt idx="50">
                  <c:v>0.0676691729323308</c:v>
                </c:pt>
                <c:pt idx="51">
                  <c:v>0.0670103092783505</c:v>
                </c:pt>
                <c:pt idx="52">
                  <c:v>0.0662857142857143</c:v>
                </c:pt>
                <c:pt idx="53">
                  <c:v>0.0632411067193676</c:v>
                </c:pt>
                <c:pt idx="54">
                  <c:v>0.0625</c:v>
                </c:pt>
                <c:pt idx="55">
                  <c:v>0.0594795539033457</c:v>
                </c:pt>
                <c:pt idx="56">
                  <c:v>0.0588235294117647</c:v>
                </c:pt>
                <c:pt idx="57">
                  <c:v>0.0581162324649299</c:v>
                </c:pt>
                <c:pt idx="58">
                  <c:v>0.0571428571428571</c:v>
                </c:pt>
                <c:pt idx="59">
                  <c:v>0.0552486187845304</c:v>
                </c:pt>
                <c:pt idx="60">
                  <c:v>0.0547667342799189</c:v>
                </c:pt>
                <c:pt idx="61">
                  <c:v>0.0522648083623693</c:v>
                </c:pt>
                <c:pt idx="62">
                  <c:v>0.0512820512820513</c:v>
                </c:pt>
                <c:pt idx="63">
                  <c:v>0.0506329113924051</c:v>
                </c:pt>
                <c:pt idx="64">
                  <c:v>0.0505050505050505</c:v>
                </c:pt>
                <c:pt idx="65">
                  <c:v>0.05</c:v>
                </c:pt>
                <c:pt idx="66">
                  <c:v>0.05</c:v>
                </c:pt>
                <c:pt idx="67">
                  <c:v>0.0477682067345341</c:v>
                </c:pt>
                <c:pt idx="68">
                  <c:v>0.0476190476190476</c:v>
                </c:pt>
                <c:pt idx="69">
                  <c:v>0.047244094488189</c:v>
                </c:pt>
                <c:pt idx="70">
                  <c:v>0.0454545454545455</c:v>
                </c:pt>
                <c:pt idx="71">
                  <c:v>0.0454545454545455</c:v>
                </c:pt>
                <c:pt idx="72">
                  <c:v>0.043859649122807</c:v>
                </c:pt>
                <c:pt idx="73">
                  <c:v>0.0432190760059613</c:v>
                </c:pt>
                <c:pt idx="74">
                  <c:v>0.0420560747663551</c:v>
                </c:pt>
                <c:pt idx="75">
                  <c:v>0.0415584415584416</c:v>
                </c:pt>
                <c:pt idx="76">
                  <c:v>0.0405405405405405</c:v>
                </c:pt>
                <c:pt idx="77">
                  <c:v>0.0401234567901235</c:v>
                </c:pt>
                <c:pt idx="78">
                  <c:v>0.0397779833487512</c:v>
                </c:pt>
                <c:pt idx="79">
                  <c:v>0.039039039039039</c:v>
                </c:pt>
                <c:pt idx="80">
                  <c:v>0.03886925795053</c:v>
                </c:pt>
                <c:pt idx="81">
                  <c:v>0.0379746835443038</c:v>
                </c:pt>
                <c:pt idx="82">
                  <c:v>0.0373831775700935</c:v>
                </c:pt>
                <c:pt idx="83">
                  <c:v>0.0370942812982998</c:v>
                </c:pt>
                <c:pt idx="84">
                  <c:v>0.037037037037037</c:v>
                </c:pt>
                <c:pt idx="85">
                  <c:v>0.03125</c:v>
                </c:pt>
                <c:pt idx="86">
                  <c:v>0.0305343511450382</c:v>
                </c:pt>
                <c:pt idx="87">
                  <c:v>0.0294117647058824</c:v>
                </c:pt>
                <c:pt idx="88">
                  <c:v>0.0291970802919708</c:v>
                </c:pt>
                <c:pt idx="89">
                  <c:v>0.0290697674418605</c:v>
                </c:pt>
                <c:pt idx="90">
                  <c:v>0.028457974851092</c:v>
                </c:pt>
                <c:pt idx="91">
                  <c:v>0.028125</c:v>
                </c:pt>
                <c:pt idx="92">
                  <c:v>0.025974025974026</c:v>
                </c:pt>
                <c:pt idx="93">
                  <c:v>0.0243128964059197</c:v>
                </c:pt>
                <c:pt idx="94">
                  <c:v>0.0232558139534884</c:v>
                </c:pt>
                <c:pt idx="95">
                  <c:v>0.0232558139534884</c:v>
                </c:pt>
                <c:pt idx="96">
                  <c:v>0.0231481481481481</c:v>
                </c:pt>
                <c:pt idx="97">
                  <c:v>0.0218978102189781</c:v>
                </c:pt>
                <c:pt idx="98">
                  <c:v>0.0217391304347826</c:v>
                </c:pt>
                <c:pt idx="99">
                  <c:v>0.021505376344086</c:v>
                </c:pt>
                <c:pt idx="100">
                  <c:v>0.0199275362318841</c:v>
                </c:pt>
                <c:pt idx="101">
                  <c:v>0.0192307692307692</c:v>
                </c:pt>
                <c:pt idx="102">
                  <c:v>0.0176991150442478</c:v>
                </c:pt>
                <c:pt idx="103">
                  <c:v>0.0175219023779725</c:v>
                </c:pt>
                <c:pt idx="104">
                  <c:v>0.0170731707317073</c:v>
                </c:pt>
                <c:pt idx="105">
                  <c:v>0.0166435506241331</c:v>
                </c:pt>
                <c:pt idx="106">
                  <c:v>0.0158730158730159</c:v>
                </c:pt>
                <c:pt idx="107">
                  <c:v>0.0151515151515152</c:v>
                </c:pt>
                <c:pt idx="108">
                  <c:v>0.0136986301369863</c:v>
                </c:pt>
                <c:pt idx="109">
                  <c:v>0.0124223602484472</c:v>
                </c:pt>
                <c:pt idx="110">
                  <c:v>0.0114942528735632</c:v>
                </c:pt>
                <c:pt idx="111">
                  <c:v>0.010752688172043</c:v>
                </c:pt>
                <c:pt idx="112">
                  <c:v>0.00925925925925926</c:v>
                </c:pt>
                <c:pt idx="113">
                  <c:v>0.00909090909090909</c:v>
                </c:pt>
                <c:pt idx="114">
                  <c:v>0.00854700854700855</c:v>
                </c:pt>
                <c:pt idx="115">
                  <c:v>0.00847457627118644</c:v>
                </c:pt>
                <c:pt idx="116">
                  <c:v>0.00684931506849315</c:v>
                </c:pt>
                <c:pt idx="117">
                  <c:v>0.00680272108843537</c:v>
                </c:pt>
                <c:pt idx="118">
                  <c:v>0.00645161290322581</c:v>
                </c:pt>
                <c:pt idx="119">
                  <c:v>0.00600961538461539</c:v>
                </c:pt>
                <c:pt idx="120">
                  <c:v>0.00476190476190476</c:v>
                </c:pt>
                <c:pt idx="121">
                  <c:v>0.00469483568075117</c:v>
                </c:pt>
                <c:pt idx="122">
                  <c:v>0.00443262411347518</c:v>
                </c:pt>
                <c:pt idx="123">
                  <c:v>0.00308641975308642</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numCache>
            </c:numRef>
          </c:yVal>
          <c:smooth val="1"/>
        </c:ser>
        <c:ser>
          <c:idx val="1"/>
          <c:order val="1"/>
          <c:tx>
            <c:strRef>
              <c:f>"CIRAE"</c:f>
              <c:strCache>
                <c:ptCount val="1"/>
                <c:pt idx="0">
                  <c:v>CIRAE</c:v>
                </c:pt>
              </c:strCache>
            </c:strRef>
          </c:tx>
          <c:spPr>
            <a:solidFill>
              <a:srgbClr val="c00000"/>
            </a:solidFill>
            <a:ln w="47520">
              <a:noFill/>
            </a:ln>
          </c:spPr>
          <c:marker>
            <c:symbol val="diamond"/>
            <c:size val="11"/>
            <c:spPr>
              <a:solidFill>
                <a:srgbClr val="c00000"/>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'Teste estatístico'!$B$2</c:f>
              <c:numCache>
                <c:formatCode>General</c:formatCode>
                <c:ptCount val="1"/>
                <c:pt idx="0">
                  <c:v>260</c:v>
                </c:pt>
              </c:numCache>
            </c:numRef>
          </c:xVal>
          <c:yVal>
            <c:numRef>
              <c:f>'Teste estatístico'!$D$2</c:f>
              <c:numCache>
                <c:formatCode>0.0%</c:formatCode>
                <c:ptCount val="1"/>
                <c:pt idx="0">
                  <c:v>0.303846153846154</c:v>
                </c:pt>
              </c:numCache>
            </c:numRef>
          </c:yVal>
          <c:smooth val="1"/>
        </c:ser>
        <c:ser>
          <c:idx val="2"/>
          <c:order val="2"/>
          <c:tx>
            <c:strRef>
              <c:f>"Referência p0"</c:f>
              <c:strCache>
                <c:ptCount val="1"/>
                <c:pt idx="0">
                  <c:v>Referência p0</c:v>
                </c:pt>
              </c:strCache>
            </c:strRef>
          </c:tx>
          <c:spPr>
            <a:solidFill>
              <a:srgbClr val="000000"/>
            </a:solidFill>
            <a:ln w="19080">
              <a:solidFill>
                <a:srgbClr val="00000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'Teste estatístico'!$S$2:$S$24</c:f>
              <c:numCache>
                <c:formatCode>General</c:formatCode>
                <c:ptCount val="23"/>
                <c:pt idx="0">
                  <c:v>20</c:v>
                </c:pt>
                <c:pt idx="1">
                  <c:v>25</c:v>
                </c:pt>
                <c:pt idx="2">
                  <c:v>30</c:v>
                </c:pt>
                <c:pt idx="3">
                  <c:v>40</c:v>
                </c:pt>
                <c:pt idx="4">
                  <c:v>50</c:v>
                </c:pt>
                <c:pt idx="5">
                  <c:v>60</c:v>
                </c:pt>
                <c:pt idx="6">
                  <c:v>75</c:v>
                </c:pt>
                <c:pt idx="7">
                  <c:v>100</c:v>
                </c:pt>
                <c:pt idx="8">
                  <c:v>125</c:v>
                </c:pt>
                <c:pt idx="9">
                  <c:v>150</c:v>
                </c:pt>
                <c:pt idx="10">
                  <c:v>200</c:v>
                </c:pt>
                <c:pt idx="11">
                  <c:v>250</c:v>
                </c:pt>
                <c:pt idx="12">
                  <c:v>300</c:v>
                </c:pt>
                <c:pt idx="13">
                  <c:v>400</c:v>
                </c:pt>
                <c:pt idx="14">
                  <c:v>500</c:v>
                </c:pt>
                <c:pt idx="15">
                  <c:v>600</c:v>
                </c:pt>
                <c:pt idx="16">
                  <c:v>800</c:v>
                </c:pt>
                <c:pt idx="17">
                  <c:v>1000</c:v>
                </c:pt>
                <c:pt idx="18">
                  <c:v>1250</c:v>
                </c:pt>
                <c:pt idx="19">
                  <c:v>1500</c:v>
                </c:pt>
                <c:pt idx="20">
                  <c:v>2000</c:v>
                </c:pt>
                <c:pt idx="21">
                  <c:v>2600</c:v>
                </c:pt>
                <c:pt idx="22">
                  <c:v>3000</c:v>
                </c:pt>
              </c:numCache>
            </c:numRef>
          </c:xVal>
          <c:yVal>
            <c:numRef>
              <c:f>'Teste estatístico'!$T$2:$T$24</c:f>
              <c:numCache>
                <c:formatCode>0.0%</c:formatCode>
                <c:ptCount val="23"/>
                <c:pt idx="0">
                  <c:v>0.0450728234438846</c:v>
                </c:pt>
                <c:pt idx="1">
                  <c:v>0.0450728234438846</c:v>
                </c:pt>
                <c:pt idx="2">
                  <c:v>0.0450728234438846</c:v>
                </c:pt>
                <c:pt idx="3">
                  <c:v>0.0450728234438846</c:v>
                </c:pt>
                <c:pt idx="4">
                  <c:v>0.0450728234438846</c:v>
                </c:pt>
                <c:pt idx="5">
                  <c:v>0.0450728234438846</c:v>
                </c:pt>
                <c:pt idx="6">
                  <c:v>0.0450728234438846</c:v>
                </c:pt>
                <c:pt idx="7">
                  <c:v>0.0450728234438846</c:v>
                </c:pt>
                <c:pt idx="8">
                  <c:v>0.0450728234438846</c:v>
                </c:pt>
                <c:pt idx="9">
                  <c:v>0.0450728234438846</c:v>
                </c:pt>
                <c:pt idx="10">
                  <c:v>0.0450728234438846</c:v>
                </c:pt>
                <c:pt idx="11">
                  <c:v>0.0450728234438846</c:v>
                </c:pt>
                <c:pt idx="12">
                  <c:v>0.0450728234438846</c:v>
                </c:pt>
                <c:pt idx="13">
                  <c:v>0.0450728234438846</c:v>
                </c:pt>
                <c:pt idx="14">
                  <c:v>0.0450728234438846</c:v>
                </c:pt>
                <c:pt idx="15">
                  <c:v>0.0450728234438846</c:v>
                </c:pt>
                <c:pt idx="16">
                  <c:v>0.0450728234438846</c:v>
                </c:pt>
                <c:pt idx="17">
                  <c:v>0.0450728234438846</c:v>
                </c:pt>
                <c:pt idx="18">
                  <c:v>0.0450728234438846</c:v>
                </c:pt>
                <c:pt idx="19">
                  <c:v>0.0450728234438846</c:v>
                </c:pt>
                <c:pt idx="20">
                  <c:v>0.0450728234438846</c:v>
                </c:pt>
                <c:pt idx="21">
                  <c:v>0.0450728234438846</c:v>
                </c:pt>
                <c:pt idx="22">
                  <c:v>0.0450728234438846</c:v>
                </c:pt>
              </c:numCache>
            </c:numRef>
          </c:yVal>
          <c:smooth val="1"/>
        </c:ser>
        <c:ser>
          <c:idx val="3"/>
          <c:order val="3"/>
          <c:tx>
            <c:strRef>
              <c:f>"Limite 95 % (φ)"</c:f>
              <c:strCache>
                <c:ptCount val="1"/>
                <c:pt idx="0">
                  <c:v>Limite 95 % (φ)</c:v>
                </c:pt>
              </c:strCache>
            </c:strRef>
          </c:tx>
          <c:spPr>
            <a:solidFill>
              <a:srgbClr val="2f75b5"/>
            </a:solidFill>
            <a:ln w="19080">
              <a:solidFill>
                <a:srgbClr val="2f75b5"/>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'Teste estatístico'!$S$2:$S$24</c:f>
              <c:numCache>
                <c:formatCode>General</c:formatCode>
                <c:ptCount val="23"/>
                <c:pt idx="0">
                  <c:v>20</c:v>
                </c:pt>
                <c:pt idx="1">
                  <c:v>25</c:v>
                </c:pt>
                <c:pt idx="2">
                  <c:v>30</c:v>
                </c:pt>
                <c:pt idx="3">
                  <c:v>40</c:v>
                </c:pt>
                <c:pt idx="4">
                  <c:v>50</c:v>
                </c:pt>
                <c:pt idx="5">
                  <c:v>60</c:v>
                </c:pt>
                <c:pt idx="6">
                  <c:v>75</c:v>
                </c:pt>
                <c:pt idx="7">
                  <c:v>100</c:v>
                </c:pt>
                <c:pt idx="8">
                  <c:v>125</c:v>
                </c:pt>
                <c:pt idx="9">
                  <c:v>150</c:v>
                </c:pt>
                <c:pt idx="10">
                  <c:v>200</c:v>
                </c:pt>
                <c:pt idx="11">
                  <c:v>250</c:v>
                </c:pt>
                <c:pt idx="12">
                  <c:v>300</c:v>
                </c:pt>
                <c:pt idx="13">
                  <c:v>400</c:v>
                </c:pt>
                <c:pt idx="14">
                  <c:v>500</c:v>
                </c:pt>
                <c:pt idx="15">
                  <c:v>600</c:v>
                </c:pt>
                <c:pt idx="16">
                  <c:v>800</c:v>
                </c:pt>
                <c:pt idx="17">
                  <c:v>1000</c:v>
                </c:pt>
                <c:pt idx="18">
                  <c:v>1250</c:v>
                </c:pt>
                <c:pt idx="19">
                  <c:v>1500</c:v>
                </c:pt>
                <c:pt idx="20">
                  <c:v>2000</c:v>
                </c:pt>
                <c:pt idx="21">
                  <c:v>2600</c:v>
                </c:pt>
                <c:pt idx="22">
                  <c:v>3000</c:v>
                </c:pt>
              </c:numCache>
            </c:numRef>
          </c:xVal>
          <c:yVal>
            <c:numRef>
              <c:f>'Teste estatístico'!$U$2:$U$24</c:f>
              <c:numCache>
                <c:formatCode>0.0%</c:formatCode>
                <c:ptCount val="23"/>
                <c:pt idx="0">
                  <c:v>0.274632902728168</c:v>
                </c:pt>
                <c:pt idx="1">
                  <c:v>0.250397600323844</c:v>
                </c:pt>
                <c:pt idx="2">
                  <c:v>0.232507843297</c:v>
                </c:pt>
                <c:pt idx="3">
                  <c:v>0.207396312195523</c:v>
                </c:pt>
                <c:pt idx="4">
                  <c:v>0.190259365521319</c:v>
                </c:pt>
                <c:pt idx="5">
                  <c:v>0.177609397013857</c:v>
                </c:pt>
                <c:pt idx="6">
                  <c:v>0.163617138646829</c:v>
                </c:pt>
                <c:pt idx="7">
                  <c:v>0.147735211883864</c:v>
                </c:pt>
                <c:pt idx="8">
                  <c:v>0.136896855157598</c:v>
                </c:pt>
                <c:pt idx="9">
                  <c:v>0.128896312595002</c:v>
                </c:pt>
                <c:pt idx="10">
                  <c:v>0.117666094482602</c:v>
                </c:pt>
                <c:pt idx="11">
                  <c:v>0.11000221894454</c:v>
                </c:pt>
                <c:pt idx="12">
                  <c:v>0.104344981045357</c:v>
                </c:pt>
                <c:pt idx="13">
                  <c:v>0.0964040176638744</c:v>
                </c:pt>
                <c:pt idx="14">
                  <c:v>0.0909848393007412</c:v>
                </c:pt>
                <c:pt idx="15">
                  <c:v>0.0869845680194434</c:v>
                </c:pt>
                <c:pt idx="16">
                  <c:v>0.0813694589632431</c:v>
                </c:pt>
                <c:pt idx="17">
                  <c:v>0.0775375211942122</c:v>
                </c:pt>
                <c:pt idx="18">
                  <c:v>0.0741101318593714</c:v>
                </c:pt>
                <c:pt idx="19">
                  <c:v>0.0715801381578791</c:v>
                </c:pt>
                <c:pt idx="20">
                  <c:v>0.0680288313723129</c:v>
                </c:pt>
                <c:pt idx="21">
                  <c:v>0.0652065742887884</c:v>
                </c:pt>
                <c:pt idx="22">
                  <c:v>0.0638163254291961</c:v>
                </c:pt>
              </c:numCache>
            </c:numRef>
          </c:yVal>
          <c:smooth val="1"/>
        </c:ser>
        <c:ser>
          <c:idx val="4"/>
          <c:order val="4"/>
          <c:tx>
            <c:strRef>
              <c:f>"Limite 99,8 % (φ)"</c:f>
              <c:strCache>
                <c:ptCount val="1"/>
                <c:pt idx="0">
                  <c:v>Limite 99,8 % (φ)</c:v>
                </c:pt>
              </c:strCache>
            </c:strRef>
          </c:tx>
          <c:spPr>
            <a:solidFill>
              <a:srgbClr val="c00000"/>
            </a:solidFill>
            <a:ln w="19080">
              <a:solidFill>
                <a:srgbClr val="c00000"/>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'Teste estatístico'!$S$2:$S$24</c:f>
              <c:numCache>
                <c:formatCode>General</c:formatCode>
                <c:ptCount val="23"/>
                <c:pt idx="0">
                  <c:v>20</c:v>
                </c:pt>
                <c:pt idx="1">
                  <c:v>25</c:v>
                </c:pt>
                <c:pt idx="2">
                  <c:v>30</c:v>
                </c:pt>
                <c:pt idx="3">
                  <c:v>40</c:v>
                </c:pt>
                <c:pt idx="4">
                  <c:v>50</c:v>
                </c:pt>
                <c:pt idx="5">
                  <c:v>60</c:v>
                </c:pt>
                <c:pt idx="6">
                  <c:v>75</c:v>
                </c:pt>
                <c:pt idx="7">
                  <c:v>100</c:v>
                </c:pt>
                <c:pt idx="8">
                  <c:v>125</c:v>
                </c:pt>
                <c:pt idx="9">
                  <c:v>150</c:v>
                </c:pt>
                <c:pt idx="10">
                  <c:v>200</c:v>
                </c:pt>
                <c:pt idx="11">
                  <c:v>250</c:v>
                </c:pt>
                <c:pt idx="12">
                  <c:v>300</c:v>
                </c:pt>
                <c:pt idx="13">
                  <c:v>400</c:v>
                </c:pt>
                <c:pt idx="14">
                  <c:v>500</c:v>
                </c:pt>
                <c:pt idx="15">
                  <c:v>600</c:v>
                </c:pt>
                <c:pt idx="16">
                  <c:v>800</c:v>
                </c:pt>
                <c:pt idx="17">
                  <c:v>1000</c:v>
                </c:pt>
                <c:pt idx="18">
                  <c:v>1250</c:v>
                </c:pt>
                <c:pt idx="19">
                  <c:v>1500</c:v>
                </c:pt>
                <c:pt idx="20">
                  <c:v>2000</c:v>
                </c:pt>
                <c:pt idx="21">
                  <c:v>2600</c:v>
                </c:pt>
                <c:pt idx="22">
                  <c:v>3000</c:v>
                </c:pt>
              </c:numCache>
            </c:numRef>
          </c:xVal>
          <c:yVal>
            <c:numRef>
              <c:f>'Teste estatístico'!$V$2:$V$24</c:f>
              <c:numCache>
                <c:formatCode>0.0%</c:formatCode>
                <c:ptCount val="23"/>
                <c:pt idx="0">
                  <c:v>0.4070151361225</c:v>
                </c:pt>
                <c:pt idx="1">
                  <c:v>0.368803869477031</c:v>
                </c:pt>
                <c:pt idx="2">
                  <c:v>0.340597484239048</c:v>
                </c:pt>
                <c:pt idx="3">
                  <c:v>0.301004687137275</c:v>
                </c:pt>
                <c:pt idx="4">
                  <c:v>0.273985241374537</c:v>
                </c:pt>
                <c:pt idx="5">
                  <c:v>0.254040315099999</c:v>
                </c:pt>
                <c:pt idx="6">
                  <c:v>0.231979030016161</c:v>
                </c:pt>
                <c:pt idx="7">
                  <c:v>0.206938346460458</c:v>
                </c:pt>
                <c:pt idx="8">
                  <c:v>0.189849748515331</c:v>
                </c:pt>
                <c:pt idx="9">
                  <c:v>0.177235469556995</c:v>
                </c:pt>
                <c:pt idx="10">
                  <c:v>0.159529032409211</c:v>
                </c:pt>
                <c:pt idx="11">
                  <c:v>0.147445568921241</c:v>
                </c:pt>
                <c:pt idx="12">
                  <c:v>0.138525926730023</c:v>
                </c:pt>
                <c:pt idx="13">
                  <c:v>0.126005584952171</c:v>
                </c:pt>
                <c:pt idx="14">
                  <c:v>0.117461285979608</c:v>
                </c:pt>
                <c:pt idx="15">
                  <c:v>0.11115414650044</c:v>
                </c:pt>
                <c:pt idx="16">
                  <c:v>0.102300927926548</c:v>
                </c:pt>
                <c:pt idx="17">
                  <c:v>0.0962591961825627</c:v>
                </c:pt>
                <c:pt idx="18">
                  <c:v>0.0908553070300151</c:v>
                </c:pt>
                <c:pt idx="19">
                  <c:v>0.0868663217751074</c:v>
                </c:pt>
                <c:pt idx="20">
                  <c:v>0.0812670547117461</c:v>
                </c:pt>
                <c:pt idx="21">
                  <c:v>0.0768172642300157</c:v>
                </c:pt>
                <c:pt idx="22">
                  <c:v>0.0746252895234009</c:v>
                </c:pt>
              </c:numCache>
            </c:numRef>
          </c:yVal>
          <c:smooth val="1"/>
        </c:ser>
        <c:ser>
          <c:idx val="5"/>
          <c:order val="5"/>
          <c:tx>
            <c:strRef>
              <c:f>"Limite 95 % inf. (φ)"</c:f>
              <c:strCache>
                <c:ptCount val="1"/>
                <c:pt idx="0">
                  <c:v>Limite 95 % inf. (φ)</c:v>
                </c:pt>
              </c:strCache>
            </c:strRef>
          </c:tx>
          <c:spPr>
            <a:solidFill>
              <a:srgbClr val="2f75b5"/>
            </a:solidFill>
            <a:ln w="19080">
              <a:solidFill>
                <a:srgbClr val="2f75b5"/>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'Teste estatístico'!$S$2:$S$24</c:f>
              <c:numCache>
                <c:formatCode>General</c:formatCode>
                <c:ptCount val="23"/>
                <c:pt idx="0">
                  <c:v>20</c:v>
                </c:pt>
                <c:pt idx="1">
                  <c:v>25</c:v>
                </c:pt>
                <c:pt idx="2">
                  <c:v>30</c:v>
                </c:pt>
                <c:pt idx="3">
                  <c:v>40</c:v>
                </c:pt>
                <c:pt idx="4">
                  <c:v>50</c:v>
                </c:pt>
                <c:pt idx="5">
                  <c:v>60</c:v>
                </c:pt>
                <c:pt idx="6">
                  <c:v>75</c:v>
                </c:pt>
                <c:pt idx="7">
                  <c:v>100</c:v>
                </c:pt>
                <c:pt idx="8">
                  <c:v>125</c:v>
                </c:pt>
                <c:pt idx="9">
                  <c:v>150</c:v>
                </c:pt>
                <c:pt idx="10">
                  <c:v>200</c:v>
                </c:pt>
                <c:pt idx="11">
                  <c:v>250</c:v>
                </c:pt>
                <c:pt idx="12">
                  <c:v>300</c:v>
                </c:pt>
                <c:pt idx="13">
                  <c:v>400</c:v>
                </c:pt>
                <c:pt idx="14">
                  <c:v>500</c:v>
                </c:pt>
                <c:pt idx="15">
                  <c:v>600</c:v>
                </c:pt>
                <c:pt idx="16">
                  <c:v>800</c:v>
                </c:pt>
                <c:pt idx="17">
                  <c:v>1000</c:v>
                </c:pt>
                <c:pt idx="18">
                  <c:v>1250</c:v>
                </c:pt>
                <c:pt idx="19">
                  <c:v>1500</c:v>
                </c:pt>
                <c:pt idx="20">
                  <c:v>2000</c:v>
                </c:pt>
                <c:pt idx="21">
                  <c:v>2600</c:v>
                </c:pt>
                <c:pt idx="22">
                  <c:v>3000</c:v>
                </c:pt>
              </c:numCache>
            </c:numRef>
          </c:xVal>
          <c:yVal>
            <c:numRef>
              <c:f>'Teste estatístico'!$W$2:$W$24</c:f>
              <c:numCache>
                <c:formatCode>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0.00316107886832583</c:v>
                </c:pt>
                <c:pt idx="16">
                  <c:v>0.00877618792452605</c:v>
                </c:pt>
                <c:pt idx="17">
                  <c:v>0.012608125693557</c:v>
                </c:pt>
                <c:pt idx="18">
                  <c:v>0.0160355150283978</c:v>
                </c:pt>
                <c:pt idx="19">
                  <c:v>0.01856550872989</c:v>
                </c:pt>
                <c:pt idx="20">
                  <c:v>0.0221168155154563</c:v>
                </c:pt>
                <c:pt idx="21">
                  <c:v>0.0249390725989808</c:v>
                </c:pt>
                <c:pt idx="22">
                  <c:v>0.0263293214585731</c:v>
                </c:pt>
              </c:numCache>
            </c:numRef>
          </c:yVal>
          <c:smooth val="1"/>
        </c:ser>
        <c:ser>
          <c:idx val="6"/>
          <c:order val="6"/>
          <c:tx>
            <c:strRef>
              <c:f>"Limite 99,8 % inf. (φ)"</c:f>
              <c:strCache>
                <c:ptCount val="1"/>
                <c:pt idx="0">
                  <c:v>Limite 99,8 % inf. (φ)</c:v>
                </c:pt>
              </c:strCache>
            </c:strRef>
          </c:tx>
          <c:spPr>
            <a:solidFill>
              <a:srgbClr val="c00000"/>
            </a:solidFill>
            <a:ln w="19080">
              <a:solidFill>
                <a:srgbClr val="c00000"/>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'Teste estatístico'!$S$2:$S$24</c:f>
              <c:numCache>
                <c:formatCode>General</c:formatCode>
                <c:ptCount val="23"/>
                <c:pt idx="0">
                  <c:v>20</c:v>
                </c:pt>
                <c:pt idx="1">
                  <c:v>25</c:v>
                </c:pt>
                <c:pt idx="2">
                  <c:v>30</c:v>
                </c:pt>
                <c:pt idx="3">
                  <c:v>40</c:v>
                </c:pt>
                <c:pt idx="4">
                  <c:v>50</c:v>
                </c:pt>
                <c:pt idx="5">
                  <c:v>60</c:v>
                </c:pt>
                <c:pt idx="6">
                  <c:v>75</c:v>
                </c:pt>
                <c:pt idx="7">
                  <c:v>100</c:v>
                </c:pt>
                <c:pt idx="8">
                  <c:v>125</c:v>
                </c:pt>
                <c:pt idx="9">
                  <c:v>150</c:v>
                </c:pt>
                <c:pt idx="10">
                  <c:v>200</c:v>
                </c:pt>
                <c:pt idx="11">
                  <c:v>250</c:v>
                </c:pt>
                <c:pt idx="12">
                  <c:v>300</c:v>
                </c:pt>
                <c:pt idx="13">
                  <c:v>400</c:v>
                </c:pt>
                <c:pt idx="14">
                  <c:v>500</c:v>
                </c:pt>
                <c:pt idx="15">
                  <c:v>600</c:v>
                </c:pt>
                <c:pt idx="16">
                  <c:v>800</c:v>
                </c:pt>
                <c:pt idx="17">
                  <c:v>1000</c:v>
                </c:pt>
                <c:pt idx="18">
                  <c:v>1250</c:v>
                </c:pt>
                <c:pt idx="19">
                  <c:v>1500</c:v>
                </c:pt>
                <c:pt idx="20">
                  <c:v>2000</c:v>
                </c:pt>
                <c:pt idx="21">
                  <c:v>2600</c:v>
                </c:pt>
                <c:pt idx="22">
                  <c:v>3000</c:v>
                </c:pt>
              </c:numCache>
            </c:numRef>
          </c:xVal>
          <c:yVal>
            <c:numRef>
              <c:f>'Teste estatístico'!$X$2:$X$24</c:f>
              <c:numCache>
                <c:formatCode>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0.00327932511266177</c:v>
                </c:pt>
                <c:pt idx="20">
                  <c:v>0.00887859217602308</c:v>
                </c:pt>
                <c:pt idx="21">
                  <c:v>0.0133283826577534</c:v>
                </c:pt>
                <c:pt idx="22">
                  <c:v>0.0155203573643683</c:v>
                </c:pt>
              </c:numCache>
            </c:numRef>
          </c:yVal>
          <c:smooth val="1"/>
        </c:ser>
        <c:axId val="64520377"/>
        <c:axId val="65148870"/>
      </c:scatterChart>
      <c:valAx>
        <c:axId val="64520377"/>
        <c:scaling>
          <c:logBase val="10"/>
          <c:orientation val="minMax"/>
          <c:max val="3000"/>
          <c:min val="2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Animais recolhidos (escala logarítmica)</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148870"/>
        <c:crosses val="autoZero"/>
        <c:crossBetween val="midCat"/>
      </c:valAx>
      <c:valAx>
        <c:axId val="65148870"/>
        <c:scaling>
          <c:orientation val="minMax"/>
          <c:max val="0.5"/>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Taxa de occisão</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520377"/>
        <c:crosses val="autoZero"/>
        <c:crossBetween val="midCat"/>
      </c:valAx>
      <c:spPr>
        <a:noFill/>
        <a:ln w="0">
          <a:noFill/>
        </a:ln>
      </c:spPr>
    </c:plotArea>
    <c:legend>
      <c:legendPos val="b"/>
      <c:legendEntry>
        <c:idx val="5"/>
        <c:delete val="1"/>
      </c:legendEntry>
      <c:legendEntry>
        <c:idx val="6"/>
        <c:delete val="1"/>
      </c:legendEntry>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41</xdr:row>
      <xdr:rowOff>0</xdr:rowOff>
    </xdr:from>
    <xdr:to>
      <xdr:col>20</xdr:col>
      <xdr:colOff>800640</xdr:colOff>
      <xdr:row>61</xdr:row>
      <xdr:rowOff>149400</xdr:rowOff>
    </xdr:to>
    <xdr:graphicFrame>
      <xdr:nvGraphicFramePr>
        <xdr:cNvPr id="0" name="Chart 1"/>
        <xdr:cNvGraphicFramePr/>
      </xdr:nvGraphicFramePr>
      <xdr:xfrm>
        <a:off x="12335040" y="8191440"/>
        <a:ext cx="791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5"/>
    <col collapsed="false" customWidth="true" hidden="false" outlineLevel="0" max="3" min="3" style="0" width="3"/>
    <col collapsed="false" customWidth="true" hidden="false" outlineLevel="0" max="4" min="4" style="0" width="48"/>
    <col collapsed="false" customWidth="true" hidden="false" outlineLevel="0" max="5" min="5" style="0" width="34"/>
  </cols>
  <sheetData>
    <row r="1" customFormat="false" ht="15" hidden="false" customHeight="false" outlineLevel="0" collapsed="false">
      <c r="A1" s="1" t="s">
        <v>0</v>
      </c>
      <c r="B1" s="1" t="s">
        <v>1</v>
      </c>
      <c r="C1" s="2"/>
      <c r="D1" s="1" t="s">
        <v>2</v>
      </c>
      <c r="E1" s="1" t="s">
        <v>3</v>
      </c>
    </row>
    <row r="2" customFormat="false" ht="15" hidden="false" customHeight="false" outlineLevel="0" collapsed="false">
      <c r="A2" s="3" t="s">
        <v>4</v>
      </c>
      <c r="B2" s="4" t="n">
        <f aca="false">'Composição CIRAE'!C13</f>
        <v>79</v>
      </c>
      <c r="C2" s="2"/>
      <c r="D2" s="5" t="s">
        <v>5</v>
      </c>
      <c r="E2" s="6" t="n">
        <f aca="false">AVERAGE(B3:B172)</f>
        <v>10.1764705882353</v>
      </c>
    </row>
    <row r="3" customFormat="false" ht="15" hidden="false" customHeight="false" outlineLevel="0" collapsed="false">
      <c r="A3" s="5" t="s">
        <v>6</v>
      </c>
      <c r="B3" s="7" t="n">
        <v>122</v>
      </c>
      <c r="C3" s="2"/>
      <c r="D3" s="5" t="s">
        <v>7</v>
      </c>
      <c r="E3" s="6" t="n">
        <f aca="false">MEDIAN(B3:B172)</f>
        <v>3.5</v>
      </c>
    </row>
    <row r="4" customFormat="false" ht="15" hidden="false" customHeight="false" outlineLevel="0" collapsed="false">
      <c r="A4" s="5" t="s">
        <v>8</v>
      </c>
      <c r="B4" s="7" t="n">
        <v>86</v>
      </c>
      <c r="C4" s="2"/>
      <c r="D4" s="5" t="s">
        <v>9</v>
      </c>
      <c r="E4" s="8" t="n">
        <f aca="false">B2</f>
        <v>79</v>
      </c>
    </row>
    <row r="5" customFormat="false" ht="15" hidden="false" customHeight="false" outlineLevel="0" collapsed="false">
      <c r="A5" s="5" t="s">
        <v>10</v>
      </c>
      <c r="B5" s="7" t="n">
        <v>65</v>
      </c>
      <c r="C5" s="2"/>
      <c r="D5" s="5" t="s">
        <v>11</v>
      </c>
      <c r="E5" s="9" t="n">
        <f aca="false">E4/E2</f>
        <v>7.76300578034682</v>
      </c>
    </row>
    <row r="6" customFormat="false" ht="15" hidden="false" customHeight="false" outlineLevel="0" collapsed="false">
      <c r="A6" s="5" t="s">
        <v>12</v>
      </c>
      <c r="B6" s="7" t="n">
        <v>65</v>
      </c>
      <c r="C6" s="2"/>
      <c r="D6" s="5" t="s">
        <v>13</v>
      </c>
      <c r="E6" s="9" t="n">
        <f aca="false">E4/E3</f>
        <v>22.5714285714286</v>
      </c>
    </row>
    <row r="7" customFormat="false" ht="15" hidden="false" customHeight="false" outlineLevel="0" collapsed="false">
      <c r="A7" s="5" t="s">
        <v>14</v>
      </c>
      <c r="B7" s="7" t="n">
        <v>63</v>
      </c>
      <c r="C7" s="2"/>
      <c r="D7" s="5" t="s">
        <v>15</v>
      </c>
      <c r="E7" s="10" t="n">
        <f aca="false">B2/SUM(B2:B172)</f>
        <v>0.0436705362078496</v>
      </c>
    </row>
    <row r="8" customFormat="false" ht="15" hidden="false" customHeight="false" outlineLevel="0" collapsed="false">
      <c r="A8" s="5" t="s">
        <v>16</v>
      </c>
      <c r="B8" s="7" t="n">
        <v>58</v>
      </c>
      <c r="C8" s="2"/>
      <c r="D8" s="5" t="s">
        <v>17</v>
      </c>
      <c r="E8" s="8" t="n">
        <f aca="false">RANK(B2,B2:B172)</f>
        <v>3</v>
      </c>
    </row>
    <row r="9" customFormat="false" ht="15" hidden="false" customHeight="false" outlineLevel="0" collapsed="false">
      <c r="A9" s="5" t="s">
        <v>18</v>
      </c>
      <c r="B9" s="7" t="n">
        <v>50</v>
      </c>
      <c r="C9" s="2"/>
      <c r="D9" s="5" t="s">
        <v>19</v>
      </c>
      <c r="E9" s="8" t="n">
        <f aca="false">COUNT(B2:B172)</f>
        <v>171</v>
      </c>
    </row>
    <row r="10" customFormat="false" ht="15" hidden="false" customHeight="false" outlineLevel="0" collapsed="false">
      <c r="A10" s="5" t="s">
        <v>20</v>
      </c>
      <c r="B10" s="7" t="n">
        <v>49</v>
      </c>
      <c r="C10" s="2"/>
      <c r="D10" s="2"/>
      <c r="E10" s="2"/>
    </row>
    <row r="11" customFormat="false" ht="15" hidden="false" customHeight="true" outlineLevel="0" collapsed="false">
      <c r="A11" s="5" t="s">
        <v>21</v>
      </c>
      <c r="B11" s="7" t="n">
        <v>43</v>
      </c>
      <c r="C11" s="2"/>
      <c r="D11" s="11" t="s">
        <v>22</v>
      </c>
      <c r="E11" s="11"/>
    </row>
    <row r="12" customFormat="false" ht="48" hidden="false" customHeight="true" outlineLevel="0" collapsed="false">
      <c r="A12" s="5" t="s">
        <v>23</v>
      </c>
      <c r="B12" s="7" t="n">
        <v>43</v>
      </c>
      <c r="C12" s="2"/>
      <c r="D12" s="12" t="s">
        <v>24</v>
      </c>
      <c r="E12" s="12"/>
    </row>
    <row r="13" customFormat="false" ht="48" hidden="false" customHeight="true" outlineLevel="0" collapsed="false">
      <c r="A13" s="5" t="s">
        <v>25</v>
      </c>
      <c r="B13" s="7" t="n">
        <v>41</v>
      </c>
      <c r="C13" s="2"/>
      <c r="D13" s="12" t="s">
        <v>26</v>
      </c>
      <c r="E13" s="12"/>
    </row>
    <row r="14" customFormat="false" ht="48" hidden="false" customHeight="true" outlineLevel="0" collapsed="false">
      <c r="A14" s="5" t="s">
        <v>27</v>
      </c>
      <c r="B14" s="7" t="n">
        <v>34</v>
      </c>
      <c r="C14" s="2"/>
      <c r="D14" s="12" t="s">
        <v>28</v>
      </c>
      <c r="E14" s="12"/>
    </row>
    <row r="15" customFormat="false" ht="48" hidden="false" customHeight="true" outlineLevel="0" collapsed="false">
      <c r="A15" s="5" t="s">
        <v>29</v>
      </c>
      <c r="B15" s="7" t="n">
        <v>34</v>
      </c>
      <c r="C15" s="2"/>
      <c r="D15" s="12" t="s">
        <v>30</v>
      </c>
      <c r="E15" s="12"/>
    </row>
    <row r="16" customFormat="false" ht="48" hidden="false" customHeight="true" outlineLevel="0" collapsed="false">
      <c r="A16" s="5" t="s">
        <v>31</v>
      </c>
      <c r="B16" s="7" t="n">
        <v>30</v>
      </c>
      <c r="C16" s="2"/>
      <c r="D16" s="12" t="s">
        <v>32</v>
      </c>
      <c r="E16" s="12"/>
    </row>
    <row r="17" customFormat="false" ht="15" hidden="false" customHeight="false" outlineLevel="0" collapsed="false">
      <c r="A17" s="5" t="s">
        <v>33</v>
      </c>
      <c r="B17" s="7" t="n">
        <v>29</v>
      </c>
      <c r="C17" s="2"/>
      <c r="D17" s="2"/>
      <c r="E17" s="2"/>
    </row>
    <row r="18" customFormat="false" ht="15" hidden="false" customHeight="false" outlineLevel="0" collapsed="false">
      <c r="A18" s="5" t="s">
        <v>34</v>
      </c>
      <c r="B18" s="7" t="n">
        <v>29</v>
      </c>
      <c r="C18" s="2"/>
      <c r="D18" s="2"/>
      <c r="E18" s="2"/>
    </row>
    <row r="19" customFormat="false" ht="15" hidden="false" customHeight="false" outlineLevel="0" collapsed="false">
      <c r="A19" s="5" t="s">
        <v>35</v>
      </c>
      <c r="B19" s="7" t="n">
        <v>29</v>
      </c>
      <c r="C19" s="2"/>
      <c r="D19" s="2"/>
      <c r="E19" s="2"/>
    </row>
    <row r="20" customFormat="false" ht="15" hidden="false" customHeight="false" outlineLevel="0" collapsed="false">
      <c r="A20" s="5" t="s">
        <v>36</v>
      </c>
      <c r="B20" s="7" t="n">
        <v>28</v>
      </c>
      <c r="C20" s="2"/>
      <c r="D20" s="2"/>
      <c r="E20" s="2"/>
    </row>
    <row r="21" customFormat="false" ht="15" hidden="false" customHeight="false" outlineLevel="0" collapsed="false">
      <c r="A21" s="5" t="s">
        <v>37</v>
      </c>
      <c r="B21" s="7" t="n">
        <v>27</v>
      </c>
      <c r="C21" s="2"/>
      <c r="D21" s="2"/>
      <c r="E21" s="2"/>
    </row>
    <row r="22" customFormat="false" ht="15" hidden="false" customHeight="false" outlineLevel="0" collapsed="false">
      <c r="A22" s="5" t="s">
        <v>38</v>
      </c>
      <c r="B22" s="7" t="n">
        <v>27</v>
      </c>
      <c r="C22" s="2"/>
      <c r="D22" s="2"/>
      <c r="E22" s="2"/>
    </row>
    <row r="23" customFormat="false" ht="15" hidden="false" customHeight="false" outlineLevel="0" collapsed="false">
      <c r="A23" s="5" t="s">
        <v>39</v>
      </c>
      <c r="B23" s="7" t="n">
        <v>27</v>
      </c>
      <c r="C23" s="2"/>
      <c r="D23" s="2"/>
      <c r="E23" s="2"/>
    </row>
    <row r="24" customFormat="false" ht="15" hidden="false" customHeight="false" outlineLevel="0" collapsed="false">
      <c r="A24" s="5" t="s">
        <v>40</v>
      </c>
      <c r="B24" s="7" t="n">
        <v>24</v>
      </c>
      <c r="C24" s="2"/>
      <c r="D24" s="2"/>
      <c r="E24" s="2"/>
    </row>
    <row r="25" customFormat="false" ht="15" hidden="false" customHeight="false" outlineLevel="0" collapsed="false">
      <c r="A25" s="5" t="s">
        <v>41</v>
      </c>
      <c r="B25" s="7" t="n">
        <v>24</v>
      </c>
      <c r="C25" s="2"/>
      <c r="D25" s="2"/>
      <c r="E25" s="2"/>
    </row>
    <row r="26" customFormat="false" ht="15" hidden="false" customHeight="false" outlineLevel="0" collapsed="false">
      <c r="A26" s="5" t="s">
        <v>42</v>
      </c>
      <c r="B26" s="7" t="n">
        <v>24</v>
      </c>
      <c r="C26" s="2"/>
      <c r="D26" s="2"/>
      <c r="E26" s="2"/>
    </row>
    <row r="27" customFormat="false" ht="15" hidden="false" customHeight="false" outlineLevel="0" collapsed="false">
      <c r="A27" s="5" t="s">
        <v>43</v>
      </c>
      <c r="B27" s="7" t="n">
        <v>23</v>
      </c>
      <c r="C27" s="2"/>
      <c r="D27" s="2"/>
      <c r="E27" s="2"/>
    </row>
    <row r="28" customFormat="false" ht="15" hidden="false" customHeight="false" outlineLevel="0" collapsed="false">
      <c r="A28" s="5" t="s">
        <v>44</v>
      </c>
      <c r="B28" s="7" t="n">
        <v>22</v>
      </c>
      <c r="C28" s="2"/>
      <c r="D28" s="2"/>
      <c r="E28" s="2"/>
    </row>
    <row r="29" customFormat="false" ht="15" hidden="false" customHeight="false" outlineLevel="0" collapsed="false">
      <c r="A29" s="5" t="s">
        <v>45</v>
      </c>
      <c r="B29" s="7" t="n">
        <v>19</v>
      </c>
      <c r="C29" s="2"/>
      <c r="D29" s="2"/>
      <c r="E29" s="2"/>
    </row>
    <row r="30" customFormat="false" ht="15" hidden="false" customHeight="false" outlineLevel="0" collapsed="false">
      <c r="A30" s="5" t="s">
        <v>46</v>
      </c>
      <c r="B30" s="7" t="n">
        <v>18</v>
      </c>
      <c r="C30" s="2"/>
      <c r="D30" s="2"/>
      <c r="E30" s="2"/>
    </row>
    <row r="31" customFormat="false" ht="15" hidden="false" customHeight="false" outlineLevel="0" collapsed="false">
      <c r="A31" s="5" t="s">
        <v>47</v>
      </c>
      <c r="B31" s="7" t="n">
        <v>18</v>
      </c>
      <c r="C31" s="2"/>
      <c r="D31" s="2"/>
      <c r="E31" s="2"/>
    </row>
    <row r="32" customFormat="false" ht="15" hidden="false" customHeight="false" outlineLevel="0" collapsed="false">
      <c r="A32" s="5" t="s">
        <v>48</v>
      </c>
      <c r="B32" s="7" t="n">
        <v>17</v>
      </c>
      <c r="C32" s="2"/>
      <c r="D32" s="2"/>
      <c r="E32" s="2"/>
    </row>
    <row r="33" customFormat="false" ht="15" hidden="false" customHeight="false" outlineLevel="0" collapsed="false">
      <c r="A33" s="5" t="s">
        <v>49</v>
      </c>
      <c r="B33" s="7" t="n">
        <v>17</v>
      </c>
      <c r="C33" s="2"/>
      <c r="D33" s="2"/>
      <c r="E33" s="2"/>
    </row>
    <row r="34" customFormat="false" ht="15" hidden="false" customHeight="false" outlineLevel="0" collapsed="false">
      <c r="A34" s="5" t="s">
        <v>50</v>
      </c>
      <c r="B34" s="7" t="n">
        <v>16</v>
      </c>
      <c r="C34" s="2"/>
      <c r="D34" s="2"/>
      <c r="E34" s="2"/>
    </row>
    <row r="35" customFormat="false" ht="15" hidden="false" customHeight="false" outlineLevel="0" collapsed="false">
      <c r="A35" s="5" t="s">
        <v>51</v>
      </c>
      <c r="B35" s="7" t="n">
        <v>16</v>
      </c>
      <c r="C35" s="2"/>
      <c r="D35" s="2"/>
      <c r="E35" s="2"/>
    </row>
    <row r="36" customFormat="false" ht="15" hidden="false" customHeight="false" outlineLevel="0" collapsed="false">
      <c r="A36" s="5" t="s">
        <v>52</v>
      </c>
      <c r="B36" s="7" t="n">
        <v>16</v>
      </c>
      <c r="C36" s="2"/>
      <c r="D36" s="2"/>
      <c r="E36" s="2"/>
    </row>
    <row r="37" customFormat="false" ht="15" hidden="false" customHeight="false" outlineLevel="0" collapsed="false">
      <c r="A37" s="5" t="s">
        <v>53</v>
      </c>
      <c r="B37" s="7" t="n">
        <v>16</v>
      </c>
      <c r="C37" s="2"/>
      <c r="D37" s="2"/>
      <c r="E37" s="2"/>
    </row>
    <row r="38" customFormat="false" ht="15" hidden="false" customHeight="false" outlineLevel="0" collapsed="false">
      <c r="A38" s="5" t="s">
        <v>54</v>
      </c>
      <c r="B38" s="7" t="n">
        <v>15</v>
      </c>
      <c r="C38" s="2"/>
      <c r="D38" s="2"/>
      <c r="E38" s="2"/>
    </row>
    <row r="39" customFormat="false" ht="15" hidden="false" customHeight="false" outlineLevel="0" collapsed="false">
      <c r="A39" s="5" t="s">
        <v>55</v>
      </c>
      <c r="B39" s="7" t="n">
        <v>15</v>
      </c>
      <c r="C39" s="2"/>
      <c r="D39" s="2"/>
      <c r="E39" s="2"/>
    </row>
    <row r="40" customFormat="false" ht="15" hidden="false" customHeight="false" outlineLevel="0" collapsed="false">
      <c r="A40" s="5" t="s">
        <v>56</v>
      </c>
      <c r="B40" s="7" t="n">
        <v>15</v>
      </c>
      <c r="C40" s="2"/>
      <c r="D40" s="2"/>
      <c r="E40" s="2"/>
    </row>
    <row r="41" customFormat="false" ht="15" hidden="false" customHeight="false" outlineLevel="0" collapsed="false">
      <c r="A41" s="5" t="s">
        <v>57</v>
      </c>
      <c r="B41" s="7" t="n">
        <v>14</v>
      </c>
      <c r="C41" s="2"/>
      <c r="D41" s="2"/>
      <c r="E41" s="2"/>
    </row>
    <row r="42" customFormat="false" ht="15" hidden="false" customHeight="false" outlineLevel="0" collapsed="false">
      <c r="A42" s="5" t="s">
        <v>58</v>
      </c>
      <c r="B42" s="7" t="n">
        <v>13</v>
      </c>
      <c r="C42" s="2"/>
      <c r="D42" s="2"/>
      <c r="E42" s="2"/>
    </row>
    <row r="43" customFormat="false" ht="15" hidden="false" customHeight="false" outlineLevel="0" collapsed="false">
      <c r="A43" s="5" t="s">
        <v>59</v>
      </c>
      <c r="B43" s="7" t="n">
        <v>13</v>
      </c>
      <c r="C43" s="2"/>
      <c r="D43" s="2"/>
      <c r="E43" s="2"/>
    </row>
    <row r="44" customFormat="false" ht="15" hidden="false" customHeight="false" outlineLevel="0" collapsed="false">
      <c r="A44" s="5" t="s">
        <v>60</v>
      </c>
      <c r="B44" s="7" t="n">
        <v>13</v>
      </c>
      <c r="C44" s="2"/>
      <c r="D44" s="2"/>
      <c r="E44" s="2"/>
    </row>
    <row r="45" customFormat="false" ht="15" hidden="false" customHeight="false" outlineLevel="0" collapsed="false">
      <c r="A45" s="5" t="s">
        <v>61</v>
      </c>
      <c r="B45" s="7" t="n">
        <v>13</v>
      </c>
      <c r="C45" s="2"/>
      <c r="D45" s="2"/>
      <c r="E45" s="2"/>
    </row>
    <row r="46" customFormat="false" ht="15" hidden="false" customHeight="false" outlineLevel="0" collapsed="false">
      <c r="A46" s="5" t="s">
        <v>62</v>
      </c>
      <c r="B46" s="7" t="n">
        <v>13</v>
      </c>
      <c r="C46" s="2"/>
      <c r="D46" s="2"/>
      <c r="E46" s="2"/>
    </row>
    <row r="47" customFormat="false" ht="15" hidden="false" customHeight="false" outlineLevel="0" collapsed="false">
      <c r="A47" s="5" t="s">
        <v>63</v>
      </c>
      <c r="B47" s="7" t="n">
        <v>12</v>
      </c>
      <c r="C47" s="2"/>
      <c r="D47" s="2"/>
      <c r="E47" s="2"/>
    </row>
    <row r="48" customFormat="false" ht="15" hidden="false" customHeight="false" outlineLevel="0" collapsed="false">
      <c r="A48" s="5" t="s">
        <v>64</v>
      </c>
      <c r="B48" s="7" t="n">
        <v>12</v>
      </c>
      <c r="C48" s="2"/>
      <c r="D48" s="2"/>
      <c r="E48" s="2"/>
    </row>
    <row r="49" customFormat="false" ht="15" hidden="false" customHeight="false" outlineLevel="0" collapsed="false">
      <c r="A49" s="5" t="s">
        <v>65</v>
      </c>
      <c r="B49" s="7" t="n">
        <v>11</v>
      </c>
      <c r="C49" s="2"/>
      <c r="D49" s="2"/>
      <c r="E49" s="2"/>
    </row>
    <row r="50" customFormat="false" ht="15" hidden="false" customHeight="false" outlineLevel="0" collapsed="false">
      <c r="A50" s="5" t="s">
        <v>66</v>
      </c>
      <c r="B50" s="7" t="n">
        <v>11</v>
      </c>
      <c r="C50" s="2"/>
      <c r="D50" s="2"/>
      <c r="E50" s="2"/>
    </row>
    <row r="51" customFormat="false" ht="15" hidden="false" customHeight="false" outlineLevel="0" collapsed="false">
      <c r="A51" s="5" t="s">
        <v>67</v>
      </c>
      <c r="B51" s="7" t="n">
        <v>11</v>
      </c>
      <c r="C51" s="2"/>
      <c r="D51" s="2"/>
      <c r="E51" s="2"/>
    </row>
    <row r="52" customFormat="false" ht="15" hidden="false" customHeight="false" outlineLevel="0" collapsed="false">
      <c r="A52" s="5" t="s">
        <v>68</v>
      </c>
      <c r="B52" s="7" t="n">
        <v>11</v>
      </c>
      <c r="C52" s="2"/>
      <c r="D52" s="2"/>
      <c r="E52" s="2"/>
    </row>
    <row r="53" customFormat="false" ht="15" hidden="false" customHeight="false" outlineLevel="0" collapsed="false">
      <c r="A53" s="5" t="s">
        <v>69</v>
      </c>
      <c r="B53" s="7" t="n">
        <v>10</v>
      </c>
      <c r="C53" s="2"/>
      <c r="D53" s="2"/>
      <c r="E53" s="2"/>
    </row>
    <row r="54" customFormat="false" ht="15" hidden="false" customHeight="false" outlineLevel="0" collapsed="false">
      <c r="A54" s="5" t="s">
        <v>70</v>
      </c>
      <c r="B54" s="7" t="n">
        <v>10</v>
      </c>
      <c r="C54" s="2"/>
      <c r="D54" s="2"/>
      <c r="E54" s="2"/>
    </row>
    <row r="55" customFormat="false" ht="15" hidden="false" customHeight="false" outlineLevel="0" collapsed="false">
      <c r="A55" s="5" t="s">
        <v>71</v>
      </c>
      <c r="B55" s="7" t="n">
        <v>10</v>
      </c>
      <c r="C55" s="2"/>
      <c r="D55" s="2"/>
      <c r="E55" s="2"/>
    </row>
    <row r="56" customFormat="false" ht="15" hidden="false" customHeight="false" outlineLevel="0" collapsed="false">
      <c r="A56" s="5" t="s">
        <v>72</v>
      </c>
      <c r="B56" s="7" t="n">
        <v>9</v>
      </c>
      <c r="C56" s="2"/>
      <c r="D56" s="2"/>
      <c r="E56" s="2"/>
    </row>
    <row r="57" customFormat="false" ht="15" hidden="false" customHeight="false" outlineLevel="0" collapsed="false">
      <c r="A57" s="5" t="s">
        <v>73</v>
      </c>
      <c r="B57" s="7" t="n">
        <v>9</v>
      </c>
      <c r="C57" s="2"/>
      <c r="D57" s="2"/>
      <c r="E57" s="2"/>
    </row>
    <row r="58" customFormat="false" ht="15" hidden="false" customHeight="false" outlineLevel="0" collapsed="false">
      <c r="A58" s="5" t="s">
        <v>74</v>
      </c>
      <c r="B58" s="7" t="n">
        <v>8</v>
      </c>
      <c r="C58" s="2"/>
      <c r="D58" s="2"/>
      <c r="E58" s="2"/>
    </row>
    <row r="59" customFormat="false" ht="15" hidden="false" customHeight="false" outlineLevel="0" collapsed="false">
      <c r="A59" s="5" t="s">
        <v>75</v>
      </c>
      <c r="B59" s="7" t="n">
        <v>8</v>
      </c>
      <c r="C59" s="2"/>
      <c r="D59" s="2"/>
      <c r="E59" s="2"/>
    </row>
    <row r="60" customFormat="false" ht="15" hidden="false" customHeight="false" outlineLevel="0" collapsed="false">
      <c r="A60" s="5" t="s">
        <v>76</v>
      </c>
      <c r="B60" s="7" t="n">
        <v>8</v>
      </c>
      <c r="C60" s="2"/>
      <c r="D60" s="2"/>
      <c r="E60" s="2"/>
    </row>
    <row r="61" customFormat="false" ht="15" hidden="false" customHeight="false" outlineLevel="0" collapsed="false">
      <c r="A61" s="5" t="s">
        <v>77</v>
      </c>
      <c r="B61" s="7" t="n">
        <v>7</v>
      </c>
      <c r="C61" s="2"/>
      <c r="D61" s="2"/>
      <c r="E61" s="2"/>
    </row>
    <row r="62" customFormat="false" ht="15" hidden="false" customHeight="false" outlineLevel="0" collapsed="false">
      <c r="A62" s="5" t="s">
        <v>78</v>
      </c>
      <c r="B62" s="7" t="n">
        <v>7</v>
      </c>
      <c r="C62" s="2"/>
      <c r="D62" s="2"/>
      <c r="E62" s="2"/>
    </row>
    <row r="63" customFormat="false" ht="15" hidden="false" customHeight="false" outlineLevel="0" collapsed="false">
      <c r="A63" s="5" t="s">
        <v>79</v>
      </c>
      <c r="B63" s="7" t="n">
        <v>7</v>
      </c>
      <c r="C63" s="2"/>
      <c r="D63" s="2"/>
      <c r="E63" s="2"/>
    </row>
    <row r="64" customFormat="false" ht="15" hidden="false" customHeight="false" outlineLevel="0" collapsed="false">
      <c r="A64" s="5" t="s">
        <v>80</v>
      </c>
      <c r="B64" s="7" t="n">
        <v>7</v>
      </c>
      <c r="C64" s="2"/>
      <c r="D64" s="2"/>
      <c r="E64" s="2"/>
    </row>
    <row r="65" customFormat="false" ht="15" hidden="false" customHeight="false" outlineLevel="0" collapsed="false">
      <c r="A65" s="5" t="s">
        <v>81</v>
      </c>
      <c r="B65" s="7" t="n">
        <v>7</v>
      </c>
      <c r="C65" s="2"/>
      <c r="D65" s="2"/>
      <c r="E65" s="2"/>
    </row>
    <row r="66" customFormat="false" ht="15" hidden="false" customHeight="false" outlineLevel="0" collapsed="false">
      <c r="A66" s="5" t="s">
        <v>82</v>
      </c>
      <c r="B66" s="7" t="n">
        <v>6</v>
      </c>
      <c r="C66" s="2"/>
      <c r="D66" s="2"/>
      <c r="E66" s="2"/>
    </row>
    <row r="67" customFormat="false" ht="15" hidden="false" customHeight="false" outlineLevel="0" collapsed="false">
      <c r="A67" s="5" t="s">
        <v>83</v>
      </c>
      <c r="B67" s="7" t="n">
        <v>6</v>
      </c>
      <c r="C67" s="2"/>
      <c r="D67" s="2"/>
      <c r="E67" s="2"/>
    </row>
    <row r="68" customFormat="false" ht="15" hidden="false" customHeight="false" outlineLevel="0" collapsed="false">
      <c r="A68" s="5" t="s">
        <v>84</v>
      </c>
      <c r="B68" s="7" t="n">
        <v>6</v>
      </c>
      <c r="C68" s="2"/>
      <c r="D68" s="2"/>
      <c r="E68" s="2"/>
    </row>
    <row r="69" customFormat="false" ht="15" hidden="false" customHeight="false" outlineLevel="0" collapsed="false">
      <c r="A69" s="5" t="s">
        <v>85</v>
      </c>
      <c r="B69" s="7" t="n">
        <v>6</v>
      </c>
      <c r="C69" s="2"/>
      <c r="D69" s="2"/>
      <c r="E69" s="2"/>
    </row>
    <row r="70" customFormat="false" ht="15" hidden="false" customHeight="false" outlineLevel="0" collapsed="false">
      <c r="A70" s="5" t="s">
        <v>86</v>
      </c>
      <c r="B70" s="7" t="n">
        <v>6</v>
      </c>
      <c r="C70" s="2"/>
      <c r="D70" s="2"/>
      <c r="E70" s="2"/>
    </row>
    <row r="71" customFormat="false" ht="15" hidden="false" customHeight="false" outlineLevel="0" collapsed="false">
      <c r="A71" s="5" t="s">
        <v>87</v>
      </c>
      <c r="B71" s="7" t="n">
        <v>6</v>
      </c>
      <c r="C71" s="2"/>
      <c r="D71" s="2"/>
      <c r="E71" s="2"/>
    </row>
    <row r="72" customFormat="false" ht="15" hidden="false" customHeight="false" outlineLevel="0" collapsed="false">
      <c r="A72" s="5" t="s">
        <v>88</v>
      </c>
      <c r="B72" s="7" t="n">
        <v>6</v>
      </c>
      <c r="C72" s="2"/>
      <c r="D72" s="2"/>
      <c r="E72" s="2"/>
    </row>
    <row r="73" customFormat="false" ht="15" hidden="false" customHeight="false" outlineLevel="0" collapsed="false">
      <c r="A73" s="5" t="s">
        <v>89</v>
      </c>
      <c r="B73" s="7" t="n">
        <v>5</v>
      </c>
      <c r="C73" s="2"/>
      <c r="D73" s="2"/>
      <c r="E73" s="2"/>
    </row>
    <row r="74" customFormat="false" ht="15" hidden="false" customHeight="false" outlineLevel="0" collapsed="false">
      <c r="A74" s="5" t="s">
        <v>90</v>
      </c>
      <c r="B74" s="7" t="n">
        <v>5</v>
      </c>
      <c r="C74" s="2"/>
      <c r="D74" s="2"/>
      <c r="E74" s="2"/>
    </row>
    <row r="75" customFormat="false" ht="15" hidden="false" customHeight="false" outlineLevel="0" collapsed="false">
      <c r="A75" s="5" t="s">
        <v>91</v>
      </c>
      <c r="B75" s="7" t="n">
        <v>5</v>
      </c>
      <c r="C75" s="2"/>
      <c r="D75" s="2"/>
      <c r="E75" s="2"/>
    </row>
    <row r="76" customFormat="false" ht="15" hidden="false" customHeight="false" outlineLevel="0" collapsed="false">
      <c r="A76" s="5" t="s">
        <v>92</v>
      </c>
      <c r="B76" s="7" t="n">
        <v>5</v>
      </c>
      <c r="C76" s="2"/>
      <c r="D76" s="2"/>
      <c r="E76" s="2"/>
    </row>
    <row r="77" customFormat="false" ht="15" hidden="false" customHeight="false" outlineLevel="0" collapsed="false">
      <c r="A77" s="5" t="s">
        <v>93</v>
      </c>
      <c r="B77" s="7" t="n">
        <v>5</v>
      </c>
      <c r="C77" s="2"/>
      <c r="D77" s="2"/>
      <c r="E77" s="2"/>
    </row>
    <row r="78" customFormat="false" ht="15" hidden="false" customHeight="false" outlineLevel="0" collapsed="false">
      <c r="A78" s="5" t="s">
        <v>94</v>
      </c>
      <c r="B78" s="7" t="n">
        <v>5</v>
      </c>
      <c r="C78" s="2"/>
      <c r="D78" s="2"/>
      <c r="E78" s="2"/>
    </row>
    <row r="79" customFormat="false" ht="15" hidden="false" customHeight="false" outlineLevel="0" collapsed="false">
      <c r="A79" s="5" t="s">
        <v>95</v>
      </c>
      <c r="B79" s="7" t="n">
        <v>5</v>
      </c>
      <c r="C79" s="2"/>
      <c r="D79" s="2"/>
      <c r="E79" s="2"/>
    </row>
    <row r="80" customFormat="false" ht="15" hidden="false" customHeight="false" outlineLevel="0" collapsed="false">
      <c r="A80" s="5" t="s">
        <v>96</v>
      </c>
      <c r="B80" s="7" t="n">
        <v>5</v>
      </c>
      <c r="C80" s="2"/>
      <c r="D80" s="2"/>
      <c r="E80" s="2"/>
    </row>
    <row r="81" customFormat="false" ht="15" hidden="false" customHeight="false" outlineLevel="0" collapsed="false">
      <c r="A81" s="5" t="s">
        <v>97</v>
      </c>
      <c r="B81" s="7" t="n">
        <v>5</v>
      </c>
      <c r="C81" s="2"/>
      <c r="D81" s="2"/>
      <c r="E81" s="2"/>
    </row>
    <row r="82" customFormat="false" ht="15" hidden="false" customHeight="false" outlineLevel="0" collapsed="false">
      <c r="A82" s="5" t="s">
        <v>98</v>
      </c>
      <c r="B82" s="7" t="n">
        <v>4</v>
      </c>
      <c r="C82" s="2"/>
      <c r="D82" s="2"/>
      <c r="E82" s="2"/>
    </row>
    <row r="83" customFormat="false" ht="15" hidden="false" customHeight="false" outlineLevel="0" collapsed="false">
      <c r="A83" s="5" t="s">
        <v>99</v>
      </c>
      <c r="B83" s="7" t="n">
        <v>4</v>
      </c>
      <c r="C83" s="2"/>
      <c r="D83" s="2"/>
      <c r="E83" s="2"/>
    </row>
    <row r="84" customFormat="false" ht="15" hidden="false" customHeight="false" outlineLevel="0" collapsed="false">
      <c r="A84" s="5" t="s">
        <v>100</v>
      </c>
      <c r="B84" s="7" t="n">
        <v>4</v>
      </c>
      <c r="C84" s="2"/>
      <c r="D84" s="2"/>
      <c r="E84" s="2"/>
    </row>
    <row r="85" customFormat="false" ht="15" hidden="false" customHeight="false" outlineLevel="0" collapsed="false">
      <c r="A85" s="5" t="s">
        <v>101</v>
      </c>
      <c r="B85" s="7" t="n">
        <v>4</v>
      </c>
      <c r="C85" s="2"/>
      <c r="D85" s="2"/>
      <c r="E85" s="2"/>
    </row>
    <row r="86" customFormat="false" ht="15" hidden="false" customHeight="false" outlineLevel="0" collapsed="false">
      <c r="A86" s="5" t="s">
        <v>102</v>
      </c>
      <c r="B86" s="7" t="n">
        <v>4</v>
      </c>
      <c r="C86" s="2"/>
      <c r="D86" s="2"/>
      <c r="E86" s="2"/>
    </row>
    <row r="87" customFormat="false" ht="15" hidden="false" customHeight="false" outlineLevel="0" collapsed="false">
      <c r="A87" s="5" t="s">
        <v>103</v>
      </c>
      <c r="B87" s="7" t="n">
        <v>4</v>
      </c>
      <c r="C87" s="2"/>
      <c r="D87" s="2"/>
      <c r="E87" s="2"/>
    </row>
    <row r="88" customFormat="false" ht="15" hidden="false" customHeight="false" outlineLevel="0" collapsed="false">
      <c r="A88" s="5" t="s">
        <v>104</v>
      </c>
      <c r="B88" s="7" t="n">
        <v>3</v>
      </c>
      <c r="C88" s="2"/>
      <c r="D88" s="2"/>
      <c r="E88" s="2"/>
    </row>
    <row r="89" customFormat="false" ht="15" hidden="false" customHeight="false" outlineLevel="0" collapsed="false">
      <c r="A89" s="5" t="s">
        <v>105</v>
      </c>
      <c r="B89" s="7" t="n">
        <v>3</v>
      </c>
      <c r="C89" s="2"/>
      <c r="D89" s="2"/>
      <c r="E89" s="2"/>
    </row>
    <row r="90" customFormat="false" ht="15" hidden="false" customHeight="false" outlineLevel="0" collapsed="false">
      <c r="A90" s="5" t="s">
        <v>106</v>
      </c>
      <c r="B90" s="7" t="n">
        <v>3</v>
      </c>
      <c r="C90" s="2"/>
      <c r="D90" s="2"/>
      <c r="E90" s="2"/>
    </row>
    <row r="91" customFormat="false" ht="15" hidden="false" customHeight="false" outlineLevel="0" collapsed="false">
      <c r="A91" s="5" t="s">
        <v>107</v>
      </c>
      <c r="B91" s="7" t="n">
        <v>3</v>
      </c>
      <c r="C91" s="2"/>
      <c r="D91" s="2"/>
      <c r="E91" s="2"/>
    </row>
    <row r="92" customFormat="false" ht="15" hidden="false" customHeight="false" outlineLevel="0" collapsed="false">
      <c r="A92" s="5" t="s">
        <v>108</v>
      </c>
      <c r="B92" s="7" t="n">
        <v>3</v>
      </c>
      <c r="C92" s="2"/>
      <c r="D92" s="2"/>
      <c r="E92" s="2"/>
    </row>
    <row r="93" customFormat="false" ht="15" hidden="false" customHeight="false" outlineLevel="0" collapsed="false">
      <c r="A93" s="5" t="s">
        <v>109</v>
      </c>
      <c r="B93" s="7" t="n">
        <v>3</v>
      </c>
      <c r="C93" s="2"/>
      <c r="D93" s="2"/>
      <c r="E93" s="2"/>
    </row>
    <row r="94" customFormat="false" ht="15" hidden="false" customHeight="false" outlineLevel="0" collapsed="false">
      <c r="A94" s="5" t="s">
        <v>110</v>
      </c>
      <c r="B94" s="7" t="n">
        <v>3</v>
      </c>
      <c r="C94" s="2"/>
      <c r="D94" s="2"/>
      <c r="E94" s="2"/>
    </row>
    <row r="95" customFormat="false" ht="15" hidden="false" customHeight="false" outlineLevel="0" collapsed="false">
      <c r="A95" s="5" t="s">
        <v>111</v>
      </c>
      <c r="B95" s="7" t="n">
        <v>3</v>
      </c>
      <c r="C95" s="2"/>
      <c r="D95" s="2"/>
      <c r="E95" s="2"/>
    </row>
    <row r="96" customFormat="false" ht="15" hidden="false" customHeight="false" outlineLevel="0" collapsed="false">
      <c r="A96" s="5" t="s">
        <v>112</v>
      </c>
      <c r="B96" s="7" t="n">
        <v>3</v>
      </c>
      <c r="C96" s="2"/>
      <c r="D96" s="2"/>
      <c r="E96" s="2"/>
    </row>
    <row r="97" customFormat="false" ht="15" hidden="false" customHeight="false" outlineLevel="0" collapsed="false">
      <c r="A97" s="5" t="s">
        <v>113</v>
      </c>
      <c r="B97" s="7" t="n">
        <v>3</v>
      </c>
      <c r="C97" s="2"/>
      <c r="D97" s="2"/>
      <c r="E97" s="2"/>
    </row>
    <row r="98" customFormat="false" ht="15" hidden="false" customHeight="false" outlineLevel="0" collapsed="false">
      <c r="A98" s="5" t="s">
        <v>114</v>
      </c>
      <c r="B98" s="7" t="n">
        <v>2</v>
      </c>
      <c r="C98" s="2"/>
      <c r="D98" s="2"/>
      <c r="E98" s="2"/>
    </row>
    <row r="99" customFormat="false" ht="15" hidden="false" customHeight="false" outlineLevel="0" collapsed="false">
      <c r="A99" s="5" t="s">
        <v>115</v>
      </c>
      <c r="B99" s="7" t="n">
        <v>2</v>
      </c>
      <c r="C99" s="2"/>
      <c r="D99" s="2"/>
      <c r="E99" s="2"/>
    </row>
    <row r="100" customFormat="false" ht="15" hidden="false" customHeight="false" outlineLevel="0" collapsed="false">
      <c r="A100" s="5" t="s">
        <v>116</v>
      </c>
      <c r="B100" s="7" t="n">
        <v>2</v>
      </c>
      <c r="C100" s="2"/>
      <c r="D100" s="2"/>
      <c r="E100" s="2"/>
    </row>
    <row r="101" customFormat="false" ht="15" hidden="false" customHeight="false" outlineLevel="0" collapsed="false">
      <c r="A101" s="5" t="s">
        <v>117</v>
      </c>
      <c r="B101" s="7" t="n">
        <v>2</v>
      </c>
      <c r="C101" s="2"/>
      <c r="D101" s="2"/>
      <c r="E101" s="2"/>
    </row>
    <row r="102" customFormat="false" ht="15" hidden="false" customHeight="false" outlineLevel="0" collapsed="false">
      <c r="A102" s="5" t="s">
        <v>118</v>
      </c>
      <c r="B102" s="7" t="n">
        <v>2</v>
      </c>
      <c r="C102" s="2"/>
      <c r="D102" s="2"/>
      <c r="E102" s="2"/>
    </row>
    <row r="103" customFormat="false" ht="15" hidden="false" customHeight="false" outlineLevel="0" collapsed="false">
      <c r="A103" s="5" t="s">
        <v>119</v>
      </c>
      <c r="B103" s="7" t="n">
        <v>2</v>
      </c>
      <c r="C103" s="2"/>
      <c r="D103" s="2"/>
      <c r="E103" s="2"/>
    </row>
    <row r="104" customFormat="false" ht="15" hidden="false" customHeight="false" outlineLevel="0" collapsed="false">
      <c r="A104" s="5" t="s">
        <v>120</v>
      </c>
      <c r="B104" s="7" t="n">
        <v>2</v>
      </c>
      <c r="C104" s="2"/>
      <c r="D104" s="2"/>
      <c r="E104" s="2"/>
    </row>
    <row r="105" customFormat="false" ht="15" hidden="false" customHeight="false" outlineLevel="0" collapsed="false">
      <c r="A105" s="5" t="s">
        <v>121</v>
      </c>
      <c r="B105" s="7" t="n">
        <v>2</v>
      </c>
      <c r="C105" s="2"/>
      <c r="D105" s="2"/>
      <c r="E105" s="2"/>
    </row>
    <row r="106" customFormat="false" ht="15" hidden="false" customHeight="false" outlineLevel="0" collapsed="false">
      <c r="A106" s="5" t="s">
        <v>122</v>
      </c>
      <c r="B106" s="7" t="n">
        <v>2</v>
      </c>
      <c r="C106" s="2"/>
      <c r="D106" s="2"/>
      <c r="E106" s="2"/>
    </row>
    <row r="107" customFormat="false" ht="15" hidden="false" customHeight="false" outlineLevel="0" collapsed="false">
      <c r="A107" s="5" t="s">
        <v>123</v>
      </c>
      <c r="B107" s="7" t="n">
        <v>2</v>
      </c>
      <c r="C107" s="2"/>
      <c r="D107" s="2"/>
      <c r="E107" s="2"/>
    </row>
    <row r="108" customFormat="false" ht="15" hidden="false" customHeight="false" outlineLevel="0" collapsed="false">
      <c r="A108" s="5" t="s">
        <v>124</v>
      </c>
      <c r="B108" s="7" t="n">
        <v>2</v>
      </c>
      <c r="C108" s="2"/>
      <c r="D108" s="2"/>
      <c r="E108" s="2"/>
    </row>
    <row r="109" customFormat="false" ht="15" hidden="false" customHeight="false" outlineLevel="0" collapsed="false">
      <c r="A109" s="5" t="s">
        <v>125</v>
      </c>
      <c r="B109" s="7" t="n">
        <v>2</v>
      </c>
      <c r="C109" s="2"/>
      <c r="D109" s="2"/>
      <c r="E109" s="2"/>
    </row>
    <row r="110" customFormat="false" ht="15" hidden="false" customHeight="false" outlineLevel="0" collapsed="false">
      <c r="A110" s="5" t="s">
        <v>126</v>
      </c>
      <c r="B110" s="7" t="n">
        <v>1</v>
      </c>
      <c r="C110" s="2"/>
      <c r="D110" s="2"/>
      <c r="E110" s="2"/>
    </row>
    <row r="111" customFormat="false" ht="15" hidden="false" customHeight="false" outlineLevel="0" collapsed="false">
      <c r="A111" s="5" t="s">
        <v>127</v>
      </c>
      <c r="B111" s="7" t="n">
        <v>1</v>
      </c>
      <c r="C111" s="2"/>
      <c r="D111" s="2"/>
      <c r="E111" s="2"/>
    </row>
    <row r="112" customFormat="false" ht="15" hidden="false" customHeight="false" outlineLevel="0" collapsed="false">
      <c r="A112" s="5" t="s">
        <v>128</v>
      </c>
      <c r="B112" s="7" t="n">
        <v>1</v>
      </c>
      <c r="C112" s="2"/>
      <c r="D112" s="2"/>
      <c r="E112" s="2"/>
    </row>
    <row r="113" customFormat="false" ht="15" hidden="false" customHeight="false" outlineLevel="0" collapsed="false">
      <c r="A113" s="5" t="s">
        <v>129</v>
      </c>
      <c r="B113" s="7" t="n">
        <v>1</v>
      </c>
      <c r="C113" s="2"/>
      <c r="D113" s="2"/>
      <c r="E113" s="2"/>
    </row>
    <row r="114" customFormat="false" ht="15" hidden="false" customHeight="false" outlineLevel="0" collapsed="false">
      <c r="A114" s="5" t="s">
        <v>130</v>
      </c>
      <c r="B114" s="7" t="n">
        <v>1</v>
      </c>
      <c r="C114" s="2"/>
      <c r="D114" s="2"/>
      <c r="E114" s="2"/>
    </row>
    <row r="115" customFormat="false" ht="15" hidden="false" customHeight="false" outlineLevel="0" collapsed="false">
      <c r="A115" s="5" t="s">
        <v>131</v>
      </c>
      <c r="B115" s="7" t="n">
        <v>1</v>
      </c>
      <c r="C115" s="2"/>
      <c r="D115" s="2"/>
      <c r="E115" s="2"/>
    </row>
    <row r="116" customFormat="false" ht="15" hidden="false" customHeight="false" outlineLevel="0" collapsed="false">
      <c r="A116" s="5" t="s">
        <v>132</v>
      </c>
      <c r="B116" s="7" t="n">
        <v>1</v>
      </c>
      <c r="C116" s="2"/>
      <c r="D116" s="2"/>
      <c r="E116" s="2"/>
    </row>
    <row r="117" customFormat="false" ht="15" hidden="false" customHeight="false" outlineLevel="0" collapsed="false">
      <c r="A117" s="5" t="s">
        <v>133</v>
      </c>
      <c r="B117" s="7" t="n">
        <v>1</v>
      </c>
      <c r="C117" s="2"/>
      <c r="D117" s="2"/>
      <c r="E117" s="2"/>
    </row>
    <row r="118" customFormat="false" ht="15" hidden="false" customHeight="false" outlineLevel="0" collapsed="false">
      <c r="A118" s="5" t="s">
        <v>134</v>
      </c>
      <c r="B118" s="7" t="n">
        <v>1</v>
      </c>
      <c r="C118" s="2"/>
      <c r="D118" s="2"/>
      <c r="E118" s="2"/>
    </row>
    <row r="119" customFormat="false" ht="15" hidden="false" customHeight="false" outlineLevel="0" collapsed="false">
      <c r="A119" s="5" t="s">
        <v>135</v>
      </c>
      <c r="B119" s="7" t="n">
        <v>1</v>
      </c>
      <c r="C119" s="2"/>
      <c r="D119" s="2"/>
      <c r="E119" s="2"/>
    </row>
    <row r="120" customFormat="false" ht="15" hidden="false" customHeight="false" outlineLevel="0" collapsed="false">
      <c r="A120" s="5" t="s">
        <v>136</v>
      </c>
      <c r="B120" s="7" t="n">
        <v>1</v>
      </c>
      <c r="C120" s="2"/>
      <c r="D120" s="2"/>
      <c r="E120" s="2"/>
    </row>
    <row r="121" customFormat="false" ht="15" hidden="false" customHeight="false" outlineLevel="0" collapsed="false">
      <c r="A121" s="5" t="s">
        <v>137</v>
      </c>
      <c r="B121" s="7" t="n">
        <v>1</v>
      </c>
      <c r="C121" s="2"/>
      <c r="D121" s="2"/>
      <c r="E121" s="2"/>
    </row>
    <row r="122" customFormat="false" ht="15" hidden="false" customHeight="false" outlineLevel="0" collapsed="false">
      <c r="A122" s="5" t="s">
        <v>138</v>
      </c>
      <c r="B122" s="7" t="n">
        <v>1</v>
      </c>
      <c r="C122" s="2"/>
      <c r="D122" s="2"/>
      <c r="E122" s="2"/>
    </row>
    <row r="123" customFormat="false" ht="15" hidden="false" customHeight="false" outlineLevel="0" collapsed="false">
      <c r="A123" s="5" t="s">
        <v>139</v>
      </c>
      <c r="B123" s="7" t="n">
        <v>1</v>
      </c>
      <c r="C123" s="2"/>
      <c r="D123" s="2"/>
      <c r="E123" s="2"/>
    </row>
    <row r="124" customFormat="false" ht="15" hidden="false" customHeight="false" outlineLevel="0" collapsed="false">
      <c r="A124" s="5" t="s">
        <v>140</v>
      </c>
      <c r="B124" s="7" t="n">
        <v>1</v>
      </c>
      <c r="C124" s="2"/>
      <c r="D124" s="2"/>
      <c r="E124" s="2"/>
    </row>
    <row r="125" customFormat="false" ht="15" hidden="false" customHeight="false" outlineLevel="0" collapsed="false">
      <c r="A125" s="5" t="s">
        <v>141</v>
      </c>
      <c r="B125" s="7" t="n">
        <v>1</v>
      </c>
      <c r="C125" s="2"/>
      <c r="D125" s="2"/>
      <c r="E125" s="2"/>
    </row>
    <row r="126" customFormat="false" ht="15" hidden="false" customHeight="false" outlineLevel="0" collapsed="false">
      <c r="A126" s="5" t="s">
        <v>142</v>
      </c>
      <c r="B126" s="7" t="n">
        <v>1</v>
      </c>
      <c r="C126" s="2"/>
      <c r="D126" s="2"/>
      <c r="E126" s="2"/>
    </row>
    <row r="127" customFormat="false" ht="15" hidden="false" customHeight="false" outlineLevel="0" collapsed="false">
      <c r="A127" s="5" t="s">
        <v>143</v>
      </c>
      <c r="B127" s="7" t="n">
        <v>0</v>
      </c>
      <c r="C127" s="2"/>
      <c r="D127" s="2"/>
      <c r="E127" s="2"/>
    </row>
    <row r="128" customFormat="false" ht="15" hidden="false" customHeight="false" outlineLevel="0" collapsed="false">
      <c r="A128" s="5" t="s">
        <v>144</v>
      </c>
      <c r="B128" s="7" t="n">
        <v>0</v>
      </c>
      <c r="C128" s="2"/>
      <c r="D128" s="2"/>
      <c r="E128" s="2"/>
    </row>
    <row r="129" customFormat="false" ht="15" hidden="false" customHeight="false" outlineLevel="0" collapsed="false">
      <c r="A129" s="5" t="s">
        <v>145</v>
      </c>
      <c r="B129" s="7" t="n">
        <v>0</v>
      </c>
      <c r="C129" s="2"/>
      <c r="D129" s="2"/>
      <c r="E129" s="2"/>
    </row>
    <row r="130" customFormat="false" ht="15" hidden="false" customHeight="false" outlineLevel="0" collapsed="false">
      <c r="A130" s="5" t="s">
        <v>146</v>
      </c>
      <c r="B130" s="7" t="n">
        <v>0</v>
      </c>
      <c r="C130" s="2"/>
      <c r="D130" s="2"/>
      <c r="E130" s="2"/>
    </row>
    <row r="131" customFormat="false" ht="15" hidden="false" customHeight="false" outlineLevel="0" collapsed="false">
      <c r="A131" s="5" t="s">
        <v>147</v>
      </c>
      <c r="B131" s="7" t="n">
        <v>0</v>
      </c>
      <c r="C131" s="2"/>
      <c r="D131" s="2"/>
      <c r="E131" s="2"/>
    </row>
    <row r="132" customFormat="false" ht="15" hidden="false" customHeight="false" outlineLevel="0" collapsed="false">
      <c r="A132" s="5" t="s">
        <v>148</v>
      </c>
      <c r="B132" s="7" t="n">
        <v>0</v>
      </c>
      <c r="C132" s="2"/>
      <c r="D132" s="2"/>
      <c r="E132" s="2"/>
    </row>
    <row r="133" customFormat="false" ht="15" hidden="false" customHeight="false" outlineLevel="0" collapsed="false">
      <c r="A133" s="5" t="s">
        <v>149</v>
      </c>
      <c r="B133" s="7" t="n">
        <v>0</v>
      </c>
      <c r="C133" s="2"/>
      <c r="D133" s="2"/>
      <c r="E133" s="2"/>
    </row>
    <row r="134" customFormat="false" ht="15" hidden="false" customHeight="false" outlineLevel="0" collapsed="false">
      <c r="A134" s="5" t="s">
        <v>150</v>
      </c>
      <c r="B134" s="7" t="n">
        <v>0</v>
      </c>
      <c r="C134" s="2"/>
      <c r="D134" s="2"/>
      <c r="E134" s="2"/>
    </row>
    <row r="135" customFormat="false" ht="15" hidden="false" customHeight="false" outlineLevel="0" collapsed="false">
      <c r="A135" s="5" t="s">
        <v>151</v>
      </c>
      <c r="B135" s="7" t="n">
        <v>0</v>
      </c>
      <c r="C135" s="2"/>
      <c r="D135" s="2"/>
      <c r="E135" s="2"/>
    </row>
    <row r="136" customFormat="false" ht="15" hidden="false" customHeight="false" outlineLevel="0" collapsed="false">
      <c r="A136" s="5" t="s">
        <v>152</v>
      </c>
      <c r="B136" s="7" t="n">
        <v>0</v>
      </c>
      <c r="C136" s="2"/>
      <c r="D136" s="2"/>
      <c r="E136" s="2"/>
    </row>
    <row r="137" customFormat="false" ht="15" hidden="false" customHeight="false" outlineLevel="0" collapsed="false">
      <c r="A137" s="5" t="s">
        <v>153</v>
      </c>
      <c r="B137" s="7" t="n">
        <v>0</v>
      </c>
      <c r="C137" s="2"/>
      <c r="D137" s="2"/>
      <c r="E137" s="2"/>
    </row>
    <row r="138" customFormat="false" ht="15" hidden="false" customHeight="false" outlineLevel="0" collapsed="false">
      <c r="A138" s="5" t="s">
        <v>154</v>
      </c>
      <c r="B138" s="7" t="n">
        <v>0</v>
      </c>
      <c r="C138" s="2"/>
      <c r="D138" s="2"/>
      <c r="E138" s="2"/>
    </row>
    <row r="139" customFormat="false" ht="15" hidden="false" customHeight="false" outlineLevel="0" collapsed="false">
      <c r="A139" s="5" t="s">
        <v>155</v>
      </c>
      <c r="B139" s="7" t="n">
        <v>0</v>
      </c>
      <c r="C139" s="2"/>
      <c r="D139" s="2"/>
      <c r="E139" s="2"/>
    </row>
    <row r="140" customFormat="false" ht="15" hidden="false" customHeight="false" outlineLevel="0" collapsed="false">
      <c r="A140" s="5" t="s">
        <v>156</v>
      </c>
      <c r="B140" s="7" t="n">
        <v>0</v>
      </c>
      <c r="C140" s="2"/>
      <c r="D140" s="2"/>
      <c r="E140" s="2"/>
    </row>
    <row r="141" customFormat="false" ht="15" hidden="false" customHeight="false" outlineLevel="0" collapsed="false">
      <c r="A141" s="5" t="s">
        <v>157</v>
      </c>
      <c r="B141" s="7" t="n">
        <v>0</v>
      </c>
      <c r="C141" s="2"/>
      <c r="D141" s="2"/>
      <c r="E141" s="2"/>
    </row>
    <row r="142" customFormat="false" ht="15" hidden="false" customHeight="false" outlineLevel="0" collapsed="false">
      <c r="A142" s="5" t="s">
        <v>158</v>
      </c>
      <c r="B142" s="7" t="n">
        <v>0</v>
      </c>
      <c r="C142" s="2"/>
      <c r="D142" s="2"/>
      <c r="E142" s="2"/>
    </row>
    <row r="143" customFormat="false" ht="15" hidden="false" customHeight="false" outlineLevel="0" collapsed="false">
      <c r="A143" s="5" t="s">
        <v>159</v>
      </c>
      <c r="B143" s="7" t="n">
        <v>0</v>
      </c>
      <c r="C143" s="2"/>
      <c r="D143" s="2"/>
      <c r="E143" s="2"/>
    </row>
    <row r="144" customFormat="false" ht="15" hidden="false" customHeight="false" outlineLevel="0" collapsed="false">
      <c r="A144" s="5" t="s">
        <v>160</v>
      </c>
      <c r="B144" s="7" t="n">
        <v>0</v>
      </c>
      <c r="C144" s="2"/>
      <c r="D144" s="2"/>
      <c r="E144" s="2"/>
    </row>
    <row r="145" customFormat="false" ht="15" hidden="false" customHeight="false" outlineLevel="0" collapsed="false">
      <c r="A145" s="5" t="s">
        <v>161</v>
      </c>
      <c r="B145" s="7" t="n">
        <v>0</v>
      </c>
      <c r="C145" s="2"/>
      <c r="D145" s="2"/>
      <c r="E145" s="2"/>
    </row>
    <row r="146" customFormat="false" ht="15" hidden="false" customHeight="false" outlineLevel="0" collapsed="false">
      <c r="A146" s="5" t="s">
        <v>162</v>
      </c>
      <c r="B146" s="7" t="n">
        <v>0</v>
      </c>
      <c r="C146" s="2"/>
      <c r="D146" s="2"/>
      <c r="E146" s="2"/>
    </row>
    <row r="147" customFormat="false" ht="15" hidden="false" customHeight="false" outlineLevel="0" collapsed="false">
      <c r="A147" s="5" t="s">
        <v>163</v>
      </c>
      <c r="B147" s="7" t="n">
        <v>0</v>
      </c>
      <c r="C147" s="2"/>
      <c r="D147" s="2"/>
      <c r="E147" s="2"/>
    </row>
    <row r="148" customFormat="false" ht="15" hidden="false" customHeight="false" outlineLevel="0" collapsed="false">
      <c r="A148" s="5" t="s">
        <v>164</v>
      </c>
      <c r="B148" s="7" t="n">
        <v>0</v>
      </c>
      <c r="C148" s="2"/>
      <c r="D148" s="2"/>
      <c r="E148" s="2"/>
    </row>
    <row r="149" customFormat="false" ht="15" hidden="false" customHeight="false" outlineLevel="0" collapsed="false">
      <c r="A149" s="5" t="s">
        <v>165</v>
      </c>
      <c r="B149" s="7" t="n">
        <v>0</v>
      </c>
      <c r="C149" s="2"/>
      <c r="D149" s="2"/>
      <c r="E149" s="2"/>
    </row>
    <row r="150" customFormat="false" ht="15" hidden="false" customHeight="false" outlineLevel="0" collapsed="false">
      <c r="A150" s="5" t="s">
        <v>166</v>
      </c>
      <c r="B150" s="7" t="n">
        <v>0</v>
      </c>
      <c r="C150" s="2"/>
      <c r="D150" s="2"/>
      <c r="E150" s="2"/>
    </row>
    <row r="151" customFormat="false" ht="15" hidden="false" customHeight="false" outlineLevel="0" collapsed="false">
      <c r="A151" s="5" t="s">
        <v>167</v>
      </c>
      <c r="B151" s="7" t="n">
        <v>0</v>
      </c>
      <c r="C151" s="2"/>
      <c r="D151" s="2"/>
      <c r="E151" s="2"/>
    </row>
    <row r="152" customFormat="false" ht="15" hidden="false" customHeight="false" outlineLevel="0" collapsed="false">
      <c r="A152" s="5" t="s">
        <v>168</v>
      </c>
      <c r="B152" s="7" t="n">
        <v>0</v>
      </c>
      <c r="C152" s="2"/>
      <c r="D152" s="2"/>
      <c r="E152" s="2"/>
    </row>
    <row r="153" customFormat="false" ht="15" hidden="false" customHeight="false" outlineLevel="0" collapsed="false">
      <c r="A153" s="5" t="s">
        <v>169</v>
      </c>
      <c r="B153" s="7" t="n">
        <v>0</v>
      </c>
      <c r="C153" s="2"/>
      <c r="D153" s="2"/>
      <c r="E153" s="2"/>
    </row>
    <row r="154" customFormat="false" ht="15" hidden="false" customHeight="false" outlineLevel="0" collapsed="false">
      <c r="A154" s="5" t="s">
        <v>170</v>
      </c>
      <c r="B154" s="7" t="n">
        <v>0</v>
      </c>
      <c r="C154" s="2"/>
      <c r="D154" s="2"/>
      <c r="E154" s="2"/>
    </row>
    <row r="155" customFormat="false" ht="15" hidden="false" customHeight="false" outlineLevel="0" collapsed="false">
      <c r="A155" s="5" t="s">
        <v>171</v>
      </c>
      <c r="B155" s="7" t="n">
        <v>0</v>
      </c>
      <c r="C155" s="2"/>
      <c r="D155" s="2"/>
      <c r="E155" s="2"/>
    </row>
    <row r="156" customFormat="false" ht="15" hidden="false" customHeight="false" outlineLevel="0" collapsed="false">
      <c r="A156" s="5" t="s">
        <v>172</v>
      </c>
      <c r="B156" s="7" t="n">
        <v>0</v>
      </c>
      <c r="C156" s="2"/>
      <c r="D156" s="2"/>
      <c r="E156" s="2"/>
    </row>
    <row r="157" customFormat="false" ht="15" hidden="false" customHeight="false" outlineLevel="0" collapsed="false">
      <c r="A157" s="5" t="s">
        <v>173</v>
      </c>
      <c r="B157" s="7" t="n">
        <v>0</v>
      </c>
      <c r="C157" s="2"/>
      <c r="D157" s="2"/>
      <c r="E157" s="2"/>
    </row>
    <row r="158" customFormat="false" ht="15" hidden="false" customHeight="false" outlineLevel="0" collapsed="false">
      <c r="A158" s="5" t="s">
        <v>174</v>
      </c>
      <c r="B158" s="7" t="n">
        <v>0</v>
      </c>
      <c r="C158" s="2"/>
      <c r="D158" s="2"/>
      <c r="E158" s="2"/>
    </row>
    <row r="159" customFormat="false" ht="15" hidden="false" customHeight="false" outlineLevel="0" collapsed="false">
      <c r="A159" s="5" t="s">
        <v>175</v>
      </c>
      <c r="B159" s="7" t="n">
        <v>0</v>
      </c>
      <c r="C159" s="2"/>
      <c r="D159" s="2"/>
      <c r="E159" s="2"/>
    </row>
    <row r="160" customFormat="false" ht="15" hidden="false" customHeight="false" outlineLevel="0" collapsed="false">
      <c r="A160" s="5" t="s">
        <v>176</v>
      </c>
      <c r="B160" s="7" t="n">
        <v>0</v>
      </c>
      <c r="C160" s="2"/>
      <c r="D160" s="2"/>
      <c r="E160" s="2"/>
    </row>
    <row r="161" customFormat="false" ht="15" hidden="false" customHeight="false" outlineLevel="0" collapsed="false">
      <c r="A161" s="5" t="s">
        <v>177</v>
      </c>
      <c r="B161" s="7" t="n">
        <v>0</v>
      </c>
      <c r="C161" s="2"/>
      <c r="D161" s="2"/>
      <c r="E161" s="2"/>
    </row>
    <row r="162" customFormat="false" ht="15" hidden="false" customHeight="false" outlineLevel="0" collapsed="false">
      <c r="A162" s="5" t="s">
        <v>178</v>
      </c>
      <c r="B162" s="7" t="n">
        <v>0</v>
      </c>
      <c r="C162" s="2"/>
      <c r="D162" s="2"/>
      <c r="E162" s="2"/>
    </row>
    <row r="163" customFormat="false" ht="15" hidden="false" customHeight="false" outlineLevel="0" collapsed="false">
      <c r="A163" s="5" t="s">
        <v>179</v>
      </c>
      <c r="B163" s="7" t="n">
        <v>0</v>
      </c>
      <c r="C163" s="2"/>
      <c r="D163" s="2"/>
      <c r="E163" s="2"/>
    </row>
    <row r="164" customFormat="false" ht="15" hidden="false" customHeight="false" outlineLevel="0" collapsed="false">
      <c r="A164" s="5" t="s">
        <v>180</v>
      </c>
      <c r="B164" s="7" t="n">
        <v>0</v>
      </c>
      <c r="C164" s="2"/>
      <c r="D164" s="2"/>
      <c r="E164" s="2"/>
    </row>
    <row r="165" customFormat="false" ht="15" hidden="false" customHeight="false" outlineLevel="0" collapsed="false">
      <c r="A165" s="5" t="s">
        <v>181</v>
      </c>
      <c r="B165" s="7" t="n">
        <v>0</v>
      </c>
      <c r="C165" s="2"/>
      <c r="D165" s="2"/>
      <c r="E165" s="2"/>
    </row>
    <row r="166" customFormat="false" ht="15" hidden="false" customHeight="false" outlineLevel="0" collapsed="false">
      <c r="A166" s="5" t="s">
        <v>182</v>
      </c>
      <c r="B166" s="7" t="n">
        <v>0</v>
      </c>
      <c r="C166" s="2"/>
      <c r="D166" s="2"/>
      <c r="E166" s="2"/>
    </row>
    <row r="167" customFormat="false" ht="15" hidden="false" customHeight="false" outlineLevel="0" collapsed="false">
      <c r="A167" s="5" t="s">
        <v>183</v>
      </c>
      <c r="B167" s="7" t="n">
        <v>0</v>
      </c>
      <c r="C167" s="2"/>
      <c r="D167" s="2"/>
      <c r="E167" s="2"/>
    </row>
    <row r="168" customFormat="false" ht="15" hidden="false" customHeight="false" outlineLevel="0" collapsed="false">
      <c r="A168" s="5" t="s">
        <v>184</v>
      </c>
      <c r="B168" s="7" t="n">
        <v>0</v>
      </c>
      <c r="C168" s="2"/>
      <c r="D168" s="2"/>
      <c r="E168" s="2"/>
    </row>
    <row r="169" customFormat="false" ht="15" hidden="false" customHeight="false" outlineLevel="0" collapsed="false">
      <c r="A169" s="5" t="s">
        <v>185</v>
      </c>
      <c r="B169" s="7" t="n">
        <v>0</v>
      </c>
      <c r="C169" s="2"/>
      <c r="D169" s="2"/>
      <c r="E169" s="2"/>
    </row>
    <row r="170" customFormat="false" ht="15" hidden="false" customHeight="false" outlineLevel="0" collapsed="false">
      <c r="A170" s="5" t="s">
        <v>186</v>
      </c>
      <c r="B170" s="7" t="n">
        <v>0</v>
      </c>
      <c r="C170" s="2"/>
      <c r="D170" s="2"/>
      <c r="E170" s="2"/>
    </row>
    <row r="171" customFormat="false" ht="15" hidden="false" customHeight="false" outlineLevel="0" collapsed="false">
      <c r="A171" s="5" t="s">
        <v>187</v>
      </c>
      <c r="B171" s="7" t="n">
        <v>0</v>
      </c>
      <c r="C171" s="2"/>
      <c r="D171" s="2"/>
      <c r="E171" s="2"/>
    </row>
    <row r="172" customFormat="false" ht="15" hidden="false" customHeight="false" outlineLevel="0" collapsed="false">
      <c r="A172" s="5" t="s">
        <v>188</v>
      </c>
      <c r="B172" s="7" t="n">
        <v>0</v>
      </c>
      <c r="C172" s="2"/>
      <c r="D172" s="2"/>
      <c r="E172" s="2"/>
    </row>
  </sheetData>
  <mergeCells count="6">
    <mergeCell ref="D11:E11"/>
    <mergeCell ref="D12:E12"/>
    <mergeCell ref="D13:E13"/>
    <mergeCell ref="D14:E14"/>
    <mergeCell ref="D15:E15"/>
    <mergeCell ref="D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3" min="2" style="0" width="14"/>
    <col collapsed="false" customWidth="true" hidden="false" outlineLevel="0" max="5" min="4" style="0" width="18"/>
    <col collapsed="false" customWidth="true" hidden="false" outlineLevel="0" max="6" min="6" style="0" width="3"/>
    <col collapsed="false" customWidth="true" hidden="false" outlineLevel="0" max="7" min="7" style="0" width="52"/>
    <col collapsed="false" customWidth="true" hidden="false" outlineLevel="0" max="8" min="8" style="0" width="14"/>
  </cols>
  <sheetData>
    <row r="1" customFormat="false" ht="45" hidden="false" customHeight="true" outlineLevel="0" collapsed="false">
      <c r="A1" s="13" t="s">
        <v>0</v>
      </c>
      <c r="B1" s="13" t="s">
        <v>189</v>
      </c>
      <c r="C1" s="13" t="s">
        <v>1</v>
      </c>
      <c r="D1" s="13" t="s">
        <v>190</v>
      </c>
      <c r="E1" s="13" t="s">
        <v>191</v>
      </c>
      <c r="F1" s="2"/>
      <c r="G1" s="1" t="s">
        <v>2</v>
      </c>
      <c r="H1" s="1" t="s">
        <v>3</v>
      </c>
    </row>
    <row r="2" customFormat="false" ht="15" hidden="false" customHeight="false" outlineLevel="0" collapsed="false">
      <c r="A2" s="3" t="s">
        <v>4</v>
      </c>
      <c r="B2" s="4" t="n">
        <f aca="false">'Composição CIRAE'!B13</f>
        <v>260</v>
      </c>
      <c r="C2" s="4" t="n">
        <f aca="false">'Composição CIRAE'!C13</f>
        <v>79</v>
      </c>
      <c r="D2" s="14" t="n">
        <f aca="false">C2/B2</f>
        <v>0.303846153846154</v>
      </c>
      <c r="E2" s="14"/>
      <c r="F2" s="2"/>
      <c r="G2" s="15" t="s">
        <v>192</v>
      </c>
      <c r="H2" s="16" t="n">
        <v>20</v>
      </c>
    </row>
    <row r="3" customFormat="false" ht="26.85" hidden="false" customHeight="false" outlineLevel="0" collapsed="false">
      <c r="A3" s="5" t="s">
        <v>132</v>
      </c>
      <c r="B3" s="7" t="n">
        <v>2</v>
      </c>
      <c r="C3" s="7" t="n">
        <v>1</v>
      </c>
      <c r="D3" s="17" t="n">
        <f aca="false">C3/B3</f>
        <v>0.5</v>
      </c>
      <c r="E3" s="17" t="str">
        <f aca="false">IF(B3&gt;=$H$2,D3,"")</f>
        <v/>
      </c>
      <c r="F3" s="2"/>
      <c r="G3" s="15" t="s">
        <v>193</v>
      </c>
      <c r="H3" s="10" t="n">
        <f aca="false">SUM(C3:C169)/SUM(B3:B169)</f>
        <v>0.04345750960838</v>
      </c>
    </row>
    <row r="4" customFormat="false" ht="15" hidden="false" customHeight="false" outlineLevel="0" collapsed="false">
      <c r="A4" s="5" t="s">
        <v>31</v>
      </c>
      <c r="B4" s="7" t="n">
        <v>75</v>
      </c>
      <c r="C4" s="7" t="n">
        <v>30</v>
      </c>
      <c r="D4" s="17" t="n">
        <f aca="false">C4/B4</f>
        <v>0.4</v>
      </c>
      <c r="E4" s="17" t="n">
        <f aca="false">IF(B4&gt;=$H$2,D4,"")</f>
        <v>0.4</v>
      </c>
      <c r="F4" s="2"/>
      <c r="G4" s="15" t="s">
        <v>194</v>
      </c>
      <c r="H4" s="10" t="n">
        <f aca="false">AVERAGE(E3:E169)</f>
        <v>0.0551469374329551</v>
      </c>
    </row>
    <row r="5" customFormat="false" ht="26.85" hidden="false" customHeight="false" outlineLevel="0" collapsed="false">
      <c r="A5" s="5" t="s">
        <v>45</v>
      </c>
      <c r="B5" s="7" t="n">
        <v>54</v>
      </c>
      <c r="C5" s="7" t="n">
        <v>19</v>
      </c>
      <c r="D5" s="17" t="n">
        <f aca="false">C5/B5</f>
        <v>0.351851851851852</v>
      </c>
      <c r="E5" s="17" t="n">
        <f aca="false">IF(B5&gt;=$H$2,D5,"")</f>
        <v>0.351851851851852</v>
      </c>
      <c r="F5" s="2"/>
      <c r="G5" s="15" t="s">
        <v>195</v>
      </c>
      <c r="H5" s="10" t="n">
        <f aca="false">MEDIAN(E3:E169)</f>
        <v>0.0373831775700935</v>
      </c>
    </row>
    <row r="6" customFormat="false" ht="15" hidden="false" customHeight="false" outlineLevel="0" collapsed="false">
      <c r="A6" s="5" t="s">
        <v>106</v>
      </c>
      <c r="B6" s="7" t="n">
        <v>10</v>
      </c>
      <c r="C6" s="7" t="n">
        <v>3</v>
      </c>
      <c r="D6" s="17" t="n">
        <f aca="false">C6/B6</f>
        <v>0.3</v>
      </c>
      <c r="E6" s="17" t="str">
        <f aca="false">IF(B6&gt;=$H$2,D6,"")</f>
        <v/>
      </c>
      <c r="F6" s="2"/>
      <c r="G6" s="15" t="s">
        <v>196</v>
      </c>
      <c r="H6" s="10" t="n">
        <f aca="false">D2</f>
        <v>0.303846153846154</v>
      </c>
    </row>
    <row r="7" customFormat="false" ht="15" hidden="false" customHeight="false" outlineLevel="0" collapsed="false">
      <c r="A7" s="5" t="s">
        <v>67</v>
      </c>
      <c r="B7" s="7" t="n">
        <v>38</v>
      </c>
      <c r="C7" s="7" t="n">
        <v>11</v>
      </c>
      <c r="D7" s="17" t="n">
        <f aca="false">C7/B7</f>
        <v>0.289473684210526</v>
      </c>
      <c r="E7" s="17" t="n">
        <f aca="false">IF(B7&gt;=$H$2,D7,"")</f>
        <v>0.289473684210526</v>
      </c>
      <c r="F7" s="2"/>
      <c r="G7" s="15" t="s">
        <v>197</v>
      </c>
      <c r="H7" s="9" t="n">
        <f aca="false">H6/H3</f>
        <v>6.9917985771454</v>
      </c>
    </row>
    <row r="8" customFormat="false" ht="15" hidden="false" customHeight="false" outlineLevel="0" collapsed="false">
      <c r="A8" s="5" t="s">
        <v>29</v>
      </c>
      <c r="B8" s="7" t="n">
        <v>121</v>
      </c>
      <c r="C8" s="7" t="n">
        <v>34</v>
      </c>
      <c r="D8" s="17" t="n">
        <f aca="false">C8/B8</f>
        <v>0.28099173553719</v>
      </c>
      <c r="E8" s="17" t="n">
        <f aca="false">IF(B8&gt;=$H$2,D8,"")</f>
        <v>0.28099173553719</v>
      </c>
      <c r="F8" s="2"/>
      <c r="G8" s="15" t="s">
        <v>13</v>
      </c>
      <c r="H8" s="9" t="n">
        <f aca="false">H6/H5</f>
        <v>8.12788461538462</v>
      </c>
    </row>
    <row r="9" customFormat="false" ht="15" hidden="false" customHeight="false" outlineLevel="0" collapsed="false">
      <c r="A9" s="5" t="s">
        <v>14</v>
      </c>
      <c r="B9" s="7" t="n">
        <v>234</v>
      </c>
      <c r="C9" s="7" t="n">
        <v>63</v>
      </c>
      <c r="D9" s="17" t="n">
        <f aca="false">C9/B9</f>
        <v>0.269230769230769</v>
      </c>
      <c r="E9" s="17" t="n">
        <f aca="false">IF(B9&gt;=$H$2,D9,"")</f>
        <v>0.269230769230769</v>
      </c>
      <c r="F9" s="2"/>
      <c r="G9" s="15" t="s">
        <v>198</v>
      </c>
      <c r="H9" s="8" t="n">
        <f aca="false">1+COUNTIF(E3:E169,"&gt;"&amp;D2)</f>
        <v>3</v>
      </c>
    </row>
    <row r="10" customFormat="false" ht="15" hidden="false" customHeight="false" outlineLevel="0" collapsed="false">
      <c r="A10" s="5" t="s">
        <v>83</v>
      </c>
      <c r="B10" s="7" t="n">
        <v>23</v>
      </c>
      <c r="C10" s="7" t="n">
        <v>6</v>
      </c>
      <c r="D10" s="17" t="n">
        <f aca="false">C10/B10</f>
        <v>0.260869565217391</v>
      </c>
      <c r="E10" s="17" t="n">
        <f aca="false">IF(B10&gt;=$H$2,D10,"")</f>
        <v>0.260869565217391</v>
      </c>
      <c r="F10" s="2"/>
      <c r="G10" s="15" t="s">
        <v>199</v>
      </c>
      <c r="H10" s="8" t="n">
        <f aca="false">COUNT(E3:E169)+1</f>
        <v>150</v>
      </c>
    </row>
    <row r="11" customFormat="false" ht="15" hidden="false" customHeight="false" outlineLevel="0" collapsed="false">
      <c r="A11" s="5" t="s">
        <v>50</v>
      </c>
      <c r="B11" s="7" t="n">
        <v>71</v>
      </c>
      <c r="C11" s="7" t="n">
        <v>16</v>
      </c>
      <c r="D11" s="17" t="n">
        <f aca="false">C11/B11</f>
        <v>0.225352112676056</v>
      </c>
      <c r="E11" s="17" t="n">
        <f aca="false">IF(B11&gt;=$H$2,D11,"")</f>
        <v>0.225352112676056</v>
      </c>
      <c r="F11" s="2"/>
      <c r="G11" s="2"/>
      <c r="H11" s="2"/>
    </row>
    <row r="12" customFormat="false" ht="15" hidden="false" customHeight="true" outlineLevel="0" collapsed="false">
      <c r="A12" s="5" t="s">
        <v>136</v>
      </c>
      <c r="B12" s="7" t="n">
        <v>5</v>
      </c>
      <c r="C12" s="7" t="n">
        <v>1</v>
      </c>
      <c r="D12" s="17" t="n">
        <f aca="false">C12/B12</f>
        <v>0.2</v>
      </c>
      <c r="E12" s="17" t="str">
        <f aca="false">IF(B12&gt;=$H$2,D12,"")</f>
        <v/>
      </c>
      <c r="F12" s="2"/>
      <c r="G12" s="11" t="s">
        <v>22</v>
      </c>
      <c r="H12" s="11"/>
    </row>
    <row r="13" customFormat="false" ht="48" hidden="false" customHeight="true" outlineLevel="0" collapsed="false">
      <c r="A13" s="5" t="s">
        <v>8</v>
      </c>
      <c r="B13" s="7" t="n">
        <v>491</v>
      </c>
      <c r="C13" s="7" t="n">
        <v>86</v>
      </c>
      <c r="D13" s="17" t="n">
        <f aca="false">C13/B13</f>
        <v>0.175152749490835</v>
      </c>
      <c r="E13" s="17" t="n">
        <f aca="false">IF(B13&gt;=$H$2,D13,"")</f>
        <v>0.175152749490835</v>
      </c>
      <c r="F13" s="2"/>
      <c r="G13" s="12" t="s">
        <v>24</v>
      </c>
      <c r="H13" s="12"/>
    </row>
    <row r="14" customFormat="false" ht="48" hidden="false" customHeight="true" outlineLevel="0" collapsed="false">
      <c r="A14" s="5" t="s">
        <v>96</v>
      </c>
      <c r="B14" s="7" t="n">
        <v>29</v>
      </c>
      <c r="C14" s="7" t="n">
        <v>5</v>
      </c>
      <c r="D14" s="17" t="n">
        <f aca="false">C14/B14</f>
        <v>0.172413793103448</v>
      </c>
      <c r="E14" s="17" t="n">
        <f aca="false">IF(B14&gt;=$H$2,D14,"")</f>
        <v>0.172413793103448</v>
      </c>
      <c r="F14" s="2"/>
      <c r="G14" s="12" t="s">
        <v>200</v>
      </c>
      <c r="H14" s="12"/>
    </row>
    <row r="15" customFormat="false" ht="48" hidden="false" customHeight="true" outlineLevel="0" collapsed="false">
      <c r="A15" s="5" t="s">
        <v>42</v>
      </c>
      <c r="B15" s="7" t="n">
        <v>141</v>
      </c>
      <c r="C15" s="7" t="n">
        <v>24</v>
      </c>
      <c r="D15" s="17" t="n">
        <f aca="false">C15/B15</f>
        <v>0.170212765957447</v>
      </c>
      <c r="E15" s="17" t="n">
        <f aca="false">IF(B15&gt;=$H$2,D15,"")</f>
        <v>0.170212765957447</v>
      </c>
      <c r="F15" s="2"/>
      <c r="G15" s="12" t="s">
        <v>201</v>
      </c>
      <c r="H15" s="12"/>
    </row>
    <row r="16" customFormat="false" ht="48" hidden="false" customHeight="true" outlineLevel="0" collapsed="false">
      <c r="A16" s="5" t="s">
        <v>65</v>
      </c>
      <c r="B16" s="7" t="n">
        <v>71</v>
      </c>
      <c r="C16" s="7" t="n">
        <v>11</v>
      </c>
      <c r="D16" s="17" t="n">
        <f aca="false">C16/B16</f>
        <v>0.154929577464789</v>
      </c>
      <c r="E16" s="17" t="n">
        <f aca="false">IF(B16&gt;=$H$2,D16,"")</f>
        <v>0.154929577464789</v>
      </c>
      <c r="F16" s="2"/>
      <c r="G16" s="12" t="s">
        <v>202</v>
      </c>
      <c r="H16" s="12"/>
    </row>
    <row r="17" customFormat="false" ht="48" hidden="false" customHeight="true" outlineLevel="0" collapsed="false">
      <c r="A17" s="5" t="s">
        <v>107</v>
      </c>
      <c r="B17" s="7" t="n">
        <v>21</v>
      </c>
      <c r="C17" s="7" t="n">
        <v>3</v>
      </c>
      <c r="D17" s="17" t="n">
        <f aca="false">C17/B17</f>
        <v>0.142857142857143</v>
      </c>
      <c r="E17" s="17" t="n">
        <f aca="false">IF(B17&gt;=$H$2,D17,"")</f>
        <v>0.142857142857143</v>
      </c>
      <c r="F17" s="2"/>
      <c r="G17" s="12" t="s">
        <v>203</v>
      </c>
      <c r="H17" s="12"/>
    </row>
    <row r="18" customFormat="false" ht="15" hidden="false" customHeight="false" outlineLevel="0" collapsed="false">
      <c r="A18" s="5" t="s">
        <v>12</v>
      </c>
      <c r="B18" s="7" t="n">
        <v>475</v>
      </c>
      <c r="C18" s="7" t="n">
        <v>65</v>
      </c>
      <c r="D18" s="17" t="n">
        <f aca="false">C18/B18</f>
        <v>0.136842105263158</v>
      </c>
      <c r="E18" s="17" t="n">
        <f aca="false">IF(B18&gt;=$H$2,D18,"")</f>
        <v>0.136842105263158</v>
      </c>
      <c r="F18" s="2"/>
      <c r="G18" s="2"/>
      <c r="H18" s="2"/>
    </row>
    <row r="19" customFormat="false" ht="15" hidden="false" customHeight="false" outlineLevel="0" collapsed="false">
      <c r="A19" s="5" t="s">
        <v>76</v>
      </c>
      <c r="B19" s="7" t="n">
        <v>59</v>
      </c>
      <c r="C19" s="7" t="n">
        <v>8</v>
      </c>
      <c r="D19" s="17" t="n">
        <f aca="false">C19/B19</f>
        <v>0.135593220338983</v>
      </c>
      <c r="E19" s="17" t="n">
        <f aca="false">IF(B19&gt;=$H$2,D19,"")</f>
        <v>0.135593220338983</v>
      </c>
      <c r="F19" s="2"/>
      <c r="G19" s="2"/>
      <c r="H19" s="2"/>
    </row>
    <row r="20" customFormat="false" ht="15" hidden="false" customHeight="false" outlineLevel="0" collapsed="false">
      <c r="A20" s="5" t="s">
        <v>20</v>
      </c>
      <c r="B20" s="7" t="n">
        <v>367</v>
      </c>
      <c r="C20" s="7" t="n">
        <v>49</v>
      </c>
      <c r="D20" s="17" t="n">
        <f aca="false">C20/B20</f>
        <v>0.133514986376022</v>
      </c>
      <c r="E20" s="17" t="n">
        <f aca="false">IF(B20&gt;=$H$2,D20,"")</f>
        <v>0.133514986376022</v>
      </c>
      <c r="F20" s="2"/>
      <c r="G20" s="2"/>
      <c r="H20" s="2"/>
    </row>
    <row r="21" customFormat="false" ht="15" hidden="false" customHeight="false" outlineLevel="0" collapsed="false">
      <c r="A21" s="5" t="s">
        <v>81</v>
      </c>
      <c r="B21" s="7" t="n">
        <v>54</v>
      </c>
      <c r="C21" s="7" t="n">
        <v>7</v>
      </c>
      <c r="D21" s="17" t="n">
        <f aca="false">C21/B21</f>
        <v>0.12962962962963</v>
      </c>
      <c r="E21" s="17" t="n">
        <f aca="false">IF(B21&gt;=$H$2,D21,"")</f>
        <v>0.12962962962963</v>
      </c>
      <c r="F21" s="2"/>
      <c r="G21" s="2"/>
      <c r="H21" s="2"/>
    </row>
    <row r="22" customFormat="false" ht="15" hidden="false" customHeight="false" outlineLevel="0" collapsed="false">
      <c r="A22" s="5" t="s">
        <v>134</v>
      </c>
      <c r="B22" s="7" t="n">
        <v>8</v>
      </c>
      <c r="C22" s="7" t="n">
        <v>1</v>
      </c>
      <c r="D22" s="17" t="n">
        <f aca="false">C22/B22</f>
        <v>0.125</v>
      </c>
      <c r="E22" s="17" t="str">
        <f aca="false">IF(B22&gt;=$H$2,D22,"")</f>
        <v/>
      </c>
      <c r="F22" s="2"/>
      <c r="G22" s="2"/>
      <c r="H22" s="2"/>
    </row>
    <row r="23" customFormat="false" ht="15" hidden="false" customHeight="false" outlineLevel="0" collapsed="false">
      <c r="A23" s="5" t="s">
        <v>38</v>
      </c>
      <c r="B23" s="7" t="n">
        <v>228</v>
      </c>
      <c r="C23" s="7" t="n">
        <v>27</v>
      </c>
      <c r="D23" s="17" t="n">
        <f aca="false">C23/B23</f>
        <v>0.118421052631579</v>
      </c>
      <c r="E23" s="17" t="n">
        <f aca="false">IF(B23&gt;=$H$2,D23,"")</f>
        <v>0.118421052631579</v>
      </c>
      <c r="F23" s="2"/>
      <c r="G23" s="2"/>
      <c r="H23" s="2"/>
    </row>
    <row r="24" customFormat="false" ht="15" hidden="false" customHeight="false" outlineLevel="0" collapsed="false">
      <c r="A24" s="5" t="s">
        <v>46</v>
      </c>
      <c r="B24" s="7" t="n">
        <v>154</v>
      </c>
      <c r="C24" s="7" t="n">
        <v>18</v>
      </c>
      <c r="D24" s="17" t="n">
        <f aca="false">C24/B24</f>
        <v>0.116883116883117</v>
      </c>
      <c r="E24" s="17" t="n">
        <f aca="false">IF(B24&gt;=$H$2,D24,"")</f>
        <v>0.116883116883117</v>
      </c>
      <c r="F24" s="2"/>
      <c r="G24" s="2"/>
      <c r="H24" s="2"/>
    </row>
    <row r="25" customFormat="false" ht="15" hidden="false" customHeight="false" outlineLevel="0" collapsed="false">
      <c r="A25" s="5" t="s">
        <v>108</v>
      </c>
      <c r="B25" s="7" t="n">
        <v>27</v>
      </c>
      <c r="C25" s="7" t="n">
        <v>3</v>
      </c>
      <c r="D25" s="17" t="n">
        <f aca="false">C25/B25</f>
        <v>0.111111111111111</v>
      </c>
      <c r="E25" s="17" t="n">
        <f aca="false">IF(B25&gt;=$H$2,D25,"")</f>
        <v>0.111111111111111</v>
      </c>
      <c r="F25" s="2"/>
      <c r="G25" s="2"/>
      <c r="H25" s="2"/>
    </row>
    <row r="26" customFormat="false" ht="15" hidden="false" customHeight="false" outlineLevel="0" collapsed="false">
      <c r="A26" s="5" t="s">
        <v>82</v>
      </c>
      <c r="B26" s="7" t="n">
        <v>55</v>
      </c>
      <c r="C26" s="7" t="n">
        <v>6</v>
      </c>
      <c r="D26" s="17" t="n">
        <f aca="false">C26/B26</f>
        <v>0.109090909090909</v>
      </c>
      <c r="E26" s="17" t="n">
        <f aca="false">IF(B26&gt;=$H$2,D26,"")</f>
        <v>0.109090909090909</v>
      </c>
      <c r="F26" s="2"/>
      <c r="G26" s="2"/>
      <c r="H26" s="2"/>
    </row>
    <row r="27" customFormat="false" ht="15" hidden="false" customHeight="false" outlineLevel="0" collapsed="false">
      <c r="A27" s="5" t="s">
        <v>27</v>
      </c>
      <c r="B27" s="7" t="n">
        <v>312</v>
      </c>
      <c r="C27" s="7" t="n">
        <v>34</v>
      </c>
      <c r="D27" s="17" t="n">
        <f aca="false">C27/B27</f>
        <v>0.108974358974359</v>
      </c>
      <c r="E27" s="17" t="n">
        <f aca="false">IF(B27&gt;=$H$2,D27,"")</f>
        <v>0.108974358974359</v>
      </c>
      <c r="F27" s="2"/>
      <c r="G27" s="2"/>
      <c r="H27" s="2"/>
    </row>
    <row r="28" customFormat="false" ht="15" hidden="false" customHeight="false" outlineLevel="0" collapsed="false">
      <c r="A28" s="5" t="s">
        <v>10</v>
      </c>
      <c r="B28" s="7" t="n">
        <v>616</v>
      </c>
      <c r="C28" s="7" t="n">
        <v>65</v>
      </c>
      <c r="D28" s="17" t="n">
        <f aca="false">C28/B28</f>
        <v>0.105519480519481</v>
      </c>
      <c r="E28" s="17" t="n">
        <f aca="false">IF(B28&gt;=$H$2,D28,"")</f>
        <v>0.105519480519481</v>
      </c>
      <c r="F28" s="2"/>
      <c r="G28" s="2"/>
      <c r="H28" s="2"/>
    </row>
    <row r="29" customFormat="false" ht="15" hidden="false" customHeight="false" outlineLevel="0" collapsed="false">
      <c r="A29" s="5" t="s">
        <v>123</v>
      </c>
      <c r="B29" s="7" t="n">
        <v>19</v>
      </c>
      <c r="C29" s="7" t="n">
        <v>2</v>
      </c>
      <c r="D29" s="17" t="n">
        <f aca="false">C29/B29</f>
        <v>0.105263157894737</v>
      </c>
      <c r="E29" s="17" t="str">
        <f aca="false">IF(B29&gt;=$H$2,D29,"")</f>
        <v/>
      </c>
      <c r="F29" s="2"/>
      <c r="G29" s="2"/>
      <c r="H29" s="2"/>
    </row>
    <row r="30" customFormat="false" ht="15" hidden="false" customHeight="false" outlineLevel="0" collapsed="false">
      <c r="A30" s="5" t="s">
        <v>48</v>
      </c>
      <c r="B30" s="7" t="n">
        <v>166</v>
      </c>
      <c r="C30" s="7" t="n">
        <v>17</v>
      </c>
      <c r="D30" s="17" t="n">
        <f aca="false">C30/B30</f>
        <v>0.102409638554217</v>
      </c>
      <c r="E30" s="17" t="n">
        <f aca="false">IF(B30&gt;=$H$2,D30,"")</f>
        <v>0.102409638554217</v>
      </c>
      <c r="F30" s="2"/>
      <c r="G30" s="2"/>
      <c r="H30" s="2"/>
    </row>
    <row r="31" customFormat="false" ht="15" hidden="false" customHeight="false" outlineLevel="0" collapsed="false">
      <c r="A31" s="5" t="s">
        <v>56</v>
      </c>
      <c r="B31" s="7" t="n">
        <v>147</v>
      </c>
      <c r="C31" s="7" t="n">
        <v>15</v>
      </c>
      <c r="D31" s="17" t="n">
        <f aca="false">C31/B31</f>
        <v>0.102040816326531</v>
      </c>
      <c r="E31" s="17" t="n">
        <f aca="false">IF(B31&gt;=$H$2,D31,"")</f>
        <v>0.102040816326531</v>
      </c>
      <c r="F31" s="2"/>
      <c r="G31" s="2"/>
      <c r="H31" s="2"/>
    </row>
    <row r="32" customFormat="false" ht="15" hidden="false" customHeight="false" outlineLevel="0" collapsed="false">
      <c r="A32" s="5" t="s">
        <v>130</v>
      </c>
      <c r="B32" s="7" t="n">
        <v>10</v>
      </c>
      <c r="C32" s="7" t="n">
        <v>1</v>
      </c>
      <c r="D32" s="17" t="n">
        <f aca="false">C32/B32</f>
        <v>0.1</v>
      </c>
      <c r="E32" s="17" t="str">
        <f aca="false">IF(B32&gt;=$H$2,D32,"")</f>
        <v/>
      </c>
      <c r="F32" s="2"/>
      <c r="G32" s="2"/>
      <c r="H32" s="2"/>
    </row>
    <row r="33" customFormat="false" ht="15" hidden="false" customHeight="false" outlineLevel="0" collapsed="false">
      <c r="A33" s="5" t="s">
        <v>113</v>
      </c>
      <c r="B33" s="7" t="n">
        <v>30</v>
      </c>
      <c r="C33" s="7" t="n">
        <v>3</v>
      </c>
      <c r="D33" s="17" t="n">
        <f aca="false">C33/B33</f>
        <v>0.1</v>
      </c>
      <c r="E33" s="17" t="n">
        <f aca="false">IF(B33&gt;=$H$2,D33,"")</f>
        <v>0.1</v>
      </c>
      <c r="F33" s="2"/>
      <c r="G33" s="2"/>
      <c r="H33" s="2"/>
    </row>
    <row r="34" customFormat="false" ht="15" hidden="false" customHeight="false" outlineLevel="0" collapsed="false">
      <c r="A34" s="5" t="s">
        <v>87</v>
      </c>
      <c r="B34" s="7" t="n">
        <v>62</v>
      </c>
      <c r="C34" s="7" t="n">
        <v>6</v>
      </c>
      <c r="D34" s="17" t="n">
        <f aca="false">C34/B34</f>
        <v>0.0967741935483871</v>
      </c>
      <c r="E34" s="17" t="n">
        <f aca="false">IF(B34&gt;=$H$2,D34,"")</f>
        <v>0.0967741935483871</v>
      </c>
      <c r="F34" s="2"/>
      <c r="G34" s="2"/>
      <c r="H34" s="2"/>
    </row>
    <row r="35" customFormat="false" ht="15" hidden="false" customHeight="false" outlineLevel="0" collapsed="false">
      <c r="A35" s="5" t="s">
        <v>110</v>
      </c>
      <c r="B35" s="7" t="n">
        <v>31</v>
      </c>
      <c r="C35" s="7" t="n">
        <v>3</v>
      </c>
      <c r="D35" s="17" t="n">
        <f aca="false">C35/B35</f>
        <v>0.0967741935483871</v>
      </c>
      <c r="E35" s="17" t="n">
        <f aca="false">IF(B35&gt;=$H$2,D35,"")</f>
        <v>0.0967741935483871</v>
      </c>
      <c r="F35" s="2"/>
      <c r="G35" s="2"/>
      <c r="H35" s="2"/>
    </row>
    <row r="36" customFormat="false" ht="15" hidden="false" customHeight="false" outlineLevel="0" collapsed="false">
      <c r="A36" s="5" t="s">
        <v>84</v>
      </c>
      <c r="B36" s="7" t="n">
        <v>63</v>
      </c>
      <c r="C36" s="7" t="n">
        <v>6</v>
      </c>
      <c r="D36" s="17" t="n">
        <f aca="false">C36/B36</f>
        <v>0.0952380952380952</v>
      </c>
      <c r="E36" s="17" t="n">
        <f aca="false">IF(B36&gt;=$H$2,D36,"")</f>
        <v>0.0952380952380952</v>
      </c>
      <c r="F36" s="2"/>
      <c r="G36" s="2"/>
      <c r="H36" s="2"/>
    </row>
    <row r="37" customFormat="false" ht="15" hidden="false" customHeight="false" outlineLevel="0" collapsed="false">
      <c r="A37" s="5" t="s">
        <v>58</v>
      </c>
      <c r="B37" s="7" t="n">
        <v>141</v>
      </c>
      <c r="C37" s="7" t="n">
        <v>13</v>
      </c>
      <c r="D37" s="17" t="n">
        <f aca="false">C37/B37</f>
        <v>0.0921985815602837</v>
      </c>
      <c r="E37" s="17" t="n">
        <f aca="false">IF(B37&gt;=$H$2,D37,"")</f>
        <v>0.0921985815602837</v>
      </c>
      <c r="F37" s="2"/>
      <c r="G37" s="2"/>
      <c r="H37" s="2"/>
    </row>
    <row r="38" customFormat="false" ht="15" hidden="false" customHeight="false" outlineLevel="0" collapsed="false">
      <c r="A38" s="5" t="s">
        <v>109</v>
      </c>
      <c r="B38" s="7" t="n">
        <v>33</v>
      </c>
      <c r="C38" s="7" t="n">
        <v>3</v>
      </c>
      <c r="D38" s="17" t="n">
        <f aca="false">C38/B38</f>
        <v>0.0909090909090909</v>
      </c>
      <c r="E38" s="17" t="n">
        <f aca="false">IF(B38&gt;=$H$2,D38,"")</f>
        <v>0.0909090909090909</v>
      </c>
      <c r="F38" s="2"/>
      <c r="G38" s="2"/>
      <c r="H38" s="2"/>
    </row>
    <row r="39" customFormat="false" ht="15" hidden="false" customHeight="false" outlineLevel="0" collapsed="false">
      <c r="A39" s="5" t="s">
        <v>44</v>
      </c>
      <c r="B39" s="7" t="n">
        <v>243</v>
      </c>
      <c r="C39" s="7" t="n">
        <v>22</v>
      </c>
      <c r="D39" s="17" t="n">
        <f aca="false">C39/B39</f>
        <v>0.0905349794238683</v>
      </c>
      <c r="E39" s="17" t="n">
        <f aca="false">IF(B39&gt;=$H$2,D39,"")</f>
        <v>0.0905349794238683</v>
      </c>
      <c r="F39" s="2"/>
      <c r="G39" s="2"/>
      <c r="H39" s="2"/>
    </row>
    <row r="40" customFormat="false" ht="15" hidden="false" customHeight="false" outlineLevel="0" collapsed="false">
      <c r="A40" s="5" t="s">
        <v>74</v>
      </c>
      <c r="B40" s="7" t="n">
        <v>91</v>
      </c>
      <c r="C40" s="7" t="n">
        <v>8</v>
      </c>
      <c r="D40" s="17" t="n">
        <f aca="false">C40/B40</f>
        <v>0.0879120879120879</v>
      </c>
      <c r="E40" s="17" t="n">
        <f aca="false">IF(B40&gt;=$H$2,D40,"")</f>
        <v>0.0879120879120879</v>
      </c>
      <c r="F40" s="2"/>
      <c r="G40" s="2"/>
      <c r="H40" s="2"/>
    </row>
    <row r="41" customFormat="false" ht="15" hidden="false" customHeight="false" outlineLevel="0" collapsed="false">
      <c r="A41" s="5" t="s">
        <v>49</v>
      </c>
      <c r="B41" s="7" t="n">
        <v>200</v>
      </c>
      <c r="C41" s="7" t="n">
        <v>17</v>
      </c>
      <c r="D41" s="17" t="n">
        <f aca="false">C41/B41</f>
        <v>0.085</v>
      </c>
      <c r="E41" s="17" t="n">
        <f aca="false">IF(B41&gt;=$H$2,D41,"")</f>
        <v>0.085</v>
      </c>
      <c r="F41" s="2"/>
      <c r="G41" s="2"/>
      <c r="H41" s="2"/>
    </row>
    <row r="42" customFormat="false" ht="15" hidden="false" customHeight="false" outlineLevel="0" collapsed="false">
      <c r="A42" s="5" t="s">
        <v>92</v>
      </c>
      <c r="B42" s="7" t="n">
        <v>59</v>
      </c>
      <c r="C42" s="7" t="n">
        <v>5</v>
      </c>
      <c r="D42" s="17" t="n">
        <f aca="false">C42/B42</f>
        <v>0.0847457627118644</v>
      </c>
      <c r="E42" s="17" t="n">
        <f aca="false">IF(B42&gt;=$H$2,D42,"")</f>
        <v>0.0847457627118644</v>
      </c>
      <c r="F42" s="2"/>
      <c r="G42" s="2"/>
      <c r="H42" s="2"/>
    </row>
    <row r="43" customFormat="false" ht="15" hidden="false" customHeight="false" outlineLevel="0" collapsed="false">
      <c r="A43" s="5" t="s">
        <v>88</v>
      </c>
      <c r="B43" s="7" t="n">
        <v>71</v>
      </c>
      <c r="C43" s="7" t="n">
        <v>6</v>
      </c>
      <c r="D43" s="17" t="n">
        <f aca="false">C43/B43</f>
        <v>0.0845070422535211</v>
      </c>
      <c r="E43" s="17" t="n">
        <f aca="false">IF(B43&gt;=$H$2,D43,"")</f>
        <v>0.0845070422535211</v>
      </c>
      <c r="F43" s="2"/>
      <c r="G43" s="2"/>
      <c r="H43" s="2"/>
    </row>
    <row r="44" customFormat="false" ht="15" hidden="false" customHeight="false" outlineLevel="0" collapsed="false">
      <c r="A44" s="5" t="s">
        <v>39</v>
      </c>
      <c r="B44" s="7" t="n">
        <v>323</v>
      </c>
      <c r="C44" s="7" t="n">
        <v>27</v>
      </c>
      <c r="D44" s="17" t="n">
        <f aca="false">C44/B44</f>
        <v>0.0835913312693498</v>
      </c>
      <c r="E44" s="17" t="n">
        <f aca="false">IF(B44&gt;=$H$2,D44,"")</f>
        <v>0.0835913312693498</v>
      </c>
      <c r="F44" s="2"/>
      <c r="G44" s="2"/>
      <c r="H44" s="2"/>
    </row>
    <row r="45" customFormat="false" ht="15" hidden="false" customHeight="false" outlineLevel="0" collapsed="false">
      <c r="A45" s="5" t="s">
        <v>35</v>
      </c>
      <c r="B45" s="7" t="n">
        <v>375</v>
      </c>
      <c r="C45" s="7" t="n">
        <v>29</v>
      </c>
      <c r="D45" s="17" t="n">
        <f aca="false">C45/B45</f>
        <v>0.0773333333333333</v>
      </c>
      <c r="E45" s="17" t="n">
        <f aca="false">IF(B45&gt;=$H$2,D45,"")</f>
        <v>0.0773333333333333</v>
      </c>
      <c r="F45" s="2"/>
      <c r="G45" s="2"/>
      <c r="H45" s="2"/>
    </row>
    <row r="46" customFormat="false" ht="15" hidden="false" customHeight="false" outlineLevel="0" collapsed="false">
      <c r="A46" s="5" t="s">
        <v>137</v>
      </c>
      <c r="B46" s="7" t="n">
        <v>13</v>
      </c>
      <c r="C46" s="7" t="n">
        <v>1</v>
      </c>
      <c r="D46" s="17" t="n">
        <f aca="false">C46/B46</f>
        <v>0.0769230769230769</v>
      </c>
      <c r="E46" s="17" t="str">
        <f aca="false">IF(B46&gt;=$H$2,D46,"")</f>
        <v/>
      </c>
      <c r="F46" s="2"/>
      <c r="G46" s="2"/>
      <c r="H46" s="2"/>
    </row>
    <row r="47" customFormat="false" ht="15" hidden="false" customHeight="false" outlineLevel="0" collapsed="false">
      <c r="A47" s="5" t="s">
        <v>36</v>
      </c>
      <c r="B47" s="7" t="n">
        <v>370</v>
      </c>
      <c r="C47" s="7" t="n">
        <v>28</v>
      </c>
      <c r="D47" s="17" t="n">
        <f aca="false">C47/B47</f>
        <v>0.0756756756756757</v>
      </c>
      <c r="E47" s="17" t="n">
        <f aca="false">IF(B47&gt;=$H$2,D47,"")</f>
        <v>0.0756756756756757</v>
      </c>
      <c r="F47" s="2"/>
      <c r="G47" s="2"/>
      <c r="H47" s="2"/>
    </row>
    <row r="48" customFormat="false" ht="15" hidden="false" customHeight="false" outlineLevel="0" collapsed="false">
      <c r="A48" s="5" t="s">
        <v>18</v>
      </c>
      <c r="B48" s="7" t="n">
        <v>669</v>
      </c>
      <c r="C48" s="7" t="n">
        <v>50</v>
      </c>
      <c r="D48" s="17" t="n">
        <f aca="false">C48/B48</f>
        <v>0.0747384155455904</v>
      </c>
      <c r="E48" s="17" t="n">
        <f aca="false">IF(B48&gt;=$H$2,D48,"")</f>
        <v>0.0747384155455904</v>
      </c>
      <c r="F48" s="2"/>
      <c r="G48" s="2"/>
      <c r="H48" s="2"/>
    </row>
    <row r="49" customFormat="false" ht="15" hidden="false" customHeight="false" outlineLevel="0" collapsed="false">
      <c r="A49" s="5" t="s">
        <v>59</v>
      </c>
      <c r="B49" s="7" t="n">
        <v>178</v>
      </c>
      <c r="C49" s="7" t="n">
        <v>13</v>
      </c>
      <c r="D49" s="17" t="n">
        <f aca="false">C49/B49</f>
        <v>0.0730337078651685</v>
      </c>
      <c r="E49" s="17" t="n">
        <f aca="false">IF(B49&gt;=$H$2,D49,"")</f>
        <v>0.0730337078651685</v>
      </c>
      <c r="F49" s="2"/>
      <c r="G49" s="2"/>
      <c r="H49" s="2"/>
    </row>
    <row r="50" customFormat="false" ht="15" hidden="false" customHeight="false" outlineLevel="0" collapsed="false">
      <c r="A50" s="5" t="s">
        <v>129</v>
      </c>
      <c r="B50" s="7" t="n">
        <v>14</v>
      </c>
      <c r="C50" s="7" t="n">
        <v>1</v>
      </c>
      <c r="D50" s="17" t="n">
        <f aca="false">C50/B50</f>
        <v>0.0714285714285714</v>
      </c>
      <c r="E50" s="17" t="str">
        <f aca="false">IF(B50&gt;=$H$2,D50,"")</f>
        <v/>
      </c>
      <c r="F50" s="2"/>
      <c r="G50" s="2"/>
      <c r="H50" s="2"/>
    </row>
    <row r="51" customFormat="false" ht="15" hidden="false" customHeight="false" outlineLevel="0" collapsed="false">
      <c r="A51" s="5" t="s">
        <v>77</v>
      </c>
      <c r="B51" s="7" t="n">
        <v>99</v>
      </c>
      <c r="C51" s="7" t="n">
        <v>7</v>
      </c>
      <c r="D51" s="17" t="n">
        <f aca="false">C51/B51</f>
        <v>0.0707070707070707</v>
      </c>
      <c r="E51" s="17" t="n">
        <f aca="false">IF(B51&gt;=$H$2,D51,"")</f>
        <v>0.0707070707070707</v>
      </c>
      <c r="F51" s="2"/>
      <c r="G51" s="2"/>
      <c r="H51" s="2"/>
    </row>
    <row r="52" customFormat="false" ht="15" hidden="false" customHeight="false" outlineLevel="0" collapsed="false">
      <c r="A52" s="5" t="s">
        <v>25</v>
      </c>
      <c r="B52" s="7" t="n">
        <v>588</v>
      </c>
      <c r="C52" s="7" t="n">
        <v>41</v>
      </c>
      <c r="D52" s="17" t="n">
        <f aca="false">C52/B52</f>
        <v>0.0697278911564626</v>
      </c>
      <c r="E52" s="17" t="n">
        <f aca="false">IF(B52&gt;=$H$2,D52,"")</f>
        <v>0.0697278911564626</v>
      </c>
      <c r="F52" s="2"/>
      <c r="G52" s="2"/>
      <c r="H52" s="2"/>
    </row>
    <row r="53" customFormat="false" ht="15" hidden="false" customHeight="false" outlineLevel="0" collapsed="false">
      <c r="A53" s="5" t="s">
        <v>72</v>
      </c>
      <c r="B53" s="7" t="n">
        <v>133</v>
      </c>
      <c r="C53" s="7" t="n">
        <v>9</v>
      </c>
      <c r="D53" s="17" t="n">
        <f aca="false">C53/B53</f>
        <v>0.0676691729323308</v>
      </c>
      <c r="E53" s="17" t="n">
        <f aca="false">IF(B53&gt;=$H$2,D53,"")</f>
        <v>0.0676691729323308</v>
      </c>
      <c r="F53" s="2"/>
      <c r="G53" s="2"/>
      <c r="H53" s="2"/>
    </row>
    <row r="54" customFormat="false" ht="15" hidden="false" customHeight="false" outlineLevel="0" collapsed="false">
      <c r="A54" s="5" t="s">
        <v>61</v>
      </c>
      <c r="B54" s="7" t="n">
        <v>194</v>
      </c>
      <c r="C54" s="7" t="n">
        <v>13</v>
      </c>
      <c r="D54" s="17" t="n">
        <f aca="false">C54/B54</f>
        <v>0.0670103092783505</v>
      </c>
      <c r="E54" s="17" t="n">
        <f aca="false">IF(B54&gt;=$H$2,D54,"")</f>
        <v>0.0670103092783505</v>
      </c>
      <c r="F54" s="2"/>
      <c r="G54" s="2"/>
      <c r="H54" s="2"/>
    </row>
    <row r="55" customFormat="false" ht="15" hidden="false" customHeight="false" outlineLevel="0" collapsed="false">
      <c r="A55" s="5" t="s">
        <v>16</v>
      </c>
      <c r="B55" s="7" t="n">
        <v>875</v>
      </c>
      <c r="C55" s="7" t="n">
        <v>58</v>
      </c>
      <c r="D55" s="17" t="n">
        <f aca="false">C55/B55</f>
        <v>0.0662857142857143</v>
      </c>
      <c r="E55" s="17" t="n">
        <f aca="false">IF(B55&gt;=$H$2,D55,"")</f>
        <v>0.0662857142857143</v>
      </c>
      <c r="F55" s="2"/>
      <c r="G55" s="2"/>
      <c r="H55" s="2"/>
    </row>
    <row r="56" customFormat="false" ht="15" hidden="false" customHeight="false" outlineLevel="0" collapsed="false">
      <c r="A56" s="5" t="s">
        <v>51</v>
      </c>
      <c r="B56" s="7" t="n">
        <v>253</v>
      </c>
      <c r="C56" s="7" t="n">
        <v>16</v>
      </c>
      <c r="D56" s="17" t="n">
        <f aca="false">C56/B56</f>
        <v>0.0632411067193676</v>
      </c>
      <c r="E56" s="17" t="n">
        <f aca="false">IF(B56&gt;=$H$2,D56,"")</f>
        <v>0.0632411067193676</v>
      </c>
      <c r="F56" s="2"/>
      <c r="G56" s="2"/>
      <c r="H56" s="2"/>
    </row>
    <row r="57" customFormat="false" ht="15" hidden="false" customHeight="false" outlineLevel="0" collapsed="false">
      <c r="A57" s="5" t="s">
        <v>124</v>
      </c>
      <c r="B57" s="7" t="n">
        <v>32</v>
      </c>
      <c r="C57" s="7" t="n">
        <v>2</v>
      </c>
      <c r="D57" s="17" t="n">
        <f aca="false">C57/B57</f>
        <v>0.0625</v>
      </c>
      <c r="E57" s="17" t="n">
        <f aca="false">IF(B57&gt;=$H$2,D57,"")</f>
        <v>0.0625</v>
      </c>
      <c r="F57" s="2"/>
      <c r="G57" s="2"/>
      <c r="H57" s="2"/>
    </row>
    <row r="58" customFormat="false" ht="15" hidden="false" customHeight="false" outlineLevel="0" collapsed="false">
      <c r="A58" s="5" t="s">
        <v>53</v>
      </c>
      <c r="B58" s="7" t="n">
        <v>269</v>
      </c>
      <c r="C58" s="7" t="n">
        <v>16</v>
      </c>
      <c r="D58" s="17" t="n">
        <f aca="false">C58/B58</f>
        <v>0.0594795539033457</v>
      </c>
      <c r="E58" s="17" t="n">
        <f aca="false">IF(B58&gt;=$H$2,D58,"")</f>
        <v>0.0594795539033457</v>
      </c>
      <c r="F58" s="2"/>
      <c r="G58" s="2"/>
      <c r="H58" s="2"/>
    </row>
    <row r="59" customFormat="false" ht="15" hidden="false" customHeight="false" outlineLevel="0" collapsed="false">
      <c r="A59" s="5" t="s">
        <v>79</v>
      </c>
      <c r="B59" s="7" t="n">
        <v>119</v>
      </c>
      <c r="C59" s="7" t="n">
        <v>7</v>
      </c>
      <c r="D59" s="17" t="n">
        <f aca="false">C59/B59</f>
        <v>0.0588235294117647</v>
      </c>
      <c r="E59" s="17" t="n">
        <f aca="false">IF(B59&gt;=$H$2,D59,"")</f>
        <v>0.0588235294117647</v>
      </c>
      <c r="F59" s="2"/>
      <c r="G59" s="2"/>
      <c r="H59" s="2"/>
    </row>
    <row r="60" customFormat="false" ht="15" hidden="false" customHeight="false" outlineLevel="0" collapsed="false">
      <c r="A60" s="5" t="s">
        <v>34</v>
      </c>
      <c r="B60" s="7" t="n">
        <v>499</v>
      </c>
      <c r="C60" s="7" t="n">
        <v>29</v>
      </c>
      <c r="D60" s="17" t="n">
        <f aca="false">C60/B60</f>
        <v>0.0581162324649299</v>
      </c>
      <c r="E60" s="17" t="n">
        <f aca="false">IF(B60&gt;=$H$2,D60,"")</f>
        <v>0.0581162324649299</v>
      </c>
      <c r="F60" s="2"/>
      <c r="G60" s="2"/>
      <c r="H60" s="2"/>
    </row>
    <row r="61" customFormat="false" ht="15" hidden="false" customHeight="false" outlineLevel="0" collapsed="false">
      <c r="A61" s="5" t="s">
        <v>99</v>
      </c>
      <c r="B61" s="7" t="n">
        <v>70</v>
      </c>
      <c r="C61" s="7" t="n">
        <v>4</v>
      </c>
      <c r="D61" s="17" t="n">
        <f aca="false">C61/B61</f>
        <v>0.0571428571428571</v>
      </c>
      <c r="E61" s="17" t="n">
        <f aca="false">IF(B61&gt;=$H$2,D61,"")</f>
        <v>0.0571428571428571</v>
      </c>
      <c r="F61" s="2"/>
      <c r="G61" s="2"/>
      <c r="H61" s="2"/>
    </row>
    <row r="62" customFormat="false" ht="15" hidden="false" customHeight="false" outlineLevel="0" collapsed="false">
      <c r="A62" s="5" t="s">
        <v>69</v>
      </c>
      <c r="B62" s="7" t="n">
        <v>181</v>
      </c>
      <c r="C62" s="7" t="n">
        <v>10</v>
      </c>
      <c r="D62" s="17" t="n">
        <f aca="false">C62/B62</f>
        <v>0.0552486187845304</v>
      </c>
      <c r="E62" s="17" t="n">
        <f aca="false">IF(B62&gt;=$H$2,D62,"")</f>
        <v>0.0552486187845304</v>
      </c>
      <c r="F62" s="2"/>
      <c r="G62" s="2"/>
      <c r="H62" s="2"/>
    </row>
    <row r="63" customFormat="false" ht="15" hidden="false" customHeight="false" outlineLevel="0" collapsed="false">
      <c r="A63" s="5" t="s">
        <v>37</v>
      </c>
      <c r="B63" s="7" t="n">
        <v>493</v>
      </c>
      <c r="C63" s="7" t="n">
        <v>27</v>
      </c>
      <c r="D63" s="17" t="n">
        <f aca="false">C63/B63</f>
        <v>0.0547667342799189</v>
      </c>
      <c r="E63" s="17" t="n">
        <f aca="false">IF(B63&gt;=$H$2,D63,"")</f>
        <v>0.0547667342799189</v>
      </c>
      <c r="F63" s="2"/>
      <c r="G63" s="2"/>
      <c r="H63" s="2"/>
    </row>
    <row r="64" customFormat="false" ht="15" hidden="false" customHeight="false" outlineLevel="0" collapsed="false">
      <c r="A64" s="5" t="s">
        <v>54</v>
      </c>
      <c r="B64" s="7" t="n">
        <v>287</v>
      </c>
      <c r="C64" s="7" t="n">
        <v>15</v>
      </c>
      <c r="D64" s="17" t="n">
        <f aca="false">C64/B64</f>
        <v>0.0522648083623693</v>
      </c>
      <c r="E64" s="17" t="n">
        <f aca="false">IF(B64&gt;=$H$2,D64,"")</f>
        <v>0.0522648083623693</v>
      </c>
      <c r="F64" s="2"/>
      <c r="G64" s="2"/>
      <c r="H64" s="2"/>
    </row>
    <row r="65" customFormat="false" ht="15" hidden="false" customHeight="false" outlineLevel="0" collapsed="false">
      <c r="A65" s="5" t="s">
        <v>70</v>
      </c>
      <c r="B65" s="7" t="n">
        <v>195</v>
      </c>
      <c r="C65" s="7" t="n">
        <v>10</v>
      </c>
      <c r="D65" s="17" t="n">
        <f aca="false">C65/B65</f>
        <v>0.0512820512820513</v>
      </c>
      <c r="E65" s="17" t="n">
        <f aca="false">IF(B65&gt;=$H$2,D65,"")</f>
        <v>0.0512820512820513</v>
      </c>
      <c r="F65" s="2"/>
      <c r="G65" s="2"/>
      <c r="H65" s="2"/>
    </row>
    <row r="66" customFormat="false" ht="15" hidden="false" customHeight="false" outlineLevel="0" collapsed="false">
      <c r="A66" s="5" t="s">
        <v>75</v>
      </c>
      <c r="B66" s="7" t="n">
        <v>158</v>
      </c>
      <c r="C66" s="7" t="n">
        <v>8</v>
      </c>
      <c r="D66" s="17" t="n">
        <f aca="false">C66/B66</f>
        <v>0.0506329113924051</v>
      </c>
      <c r="E66" s="17" t="n">
        <f aca="false">IF(B66&gt;=$H$2,D66,"")</f>
        <v>0.0506329113924051</v>
      </c>
      <c r="F66" s="2"/>
      <c r="G66" s="2"/>
      <c r="H66" s="2"/>
    </row>
    <row r="67" customFormat="false" ht="15" hidden="false" customHeight="false" outlineLevel="0" collapsed="false">
      <c r="A67" s="5" t="s">
        <v>93</v>
      </c>
      <c r="B67" s="7" t="n">
        <v>99</v>
      </c>
      <c r="C67" s="7" t="n">
        <v>5</v>
      </c>
      <c r="D67" s="17" t="n">
        <f aca="false">C67/B67</f>
        <v>0.0505050505050505</v>
      </c>
      <c r="E67" s="17" t="n">
        <f aca="false">IF(B67&gt;=$H$2,D67,"")</f>
        <v>0.0505050505050505</v>
      </c>
      <c r="F67" s="2"/>
      <c r="G67" s="2"/>
      <c r="H67" s="2"/>
    </row>
    <row r="68" customFormat="false" ht="15" hidden="false" customHeight="false" outlineLevel="0" collapsed="false">
      <c r="A68" s="5" t="s">
        <v>126</v>
      </c>
      <c r="B68" s="7" t="n">
        <v>20</v>
      </c>
      <c r="C68" s="7" t="n">
        <v>1</v>
      </c>
      <c r="D68" s="17" t="n">
        <f aca="false">C68/B68</f>
        <v>0.05</v>
      </c>
      <c r="E68" s="17" t="n">
        <f aca="false">IF(B68&gt;=$H$2,D68,"")</f>
        <v>0.05</v>
      </c>
      <c r="F68" s="2"/>
      <c r="G68" s="2"/>
      <c r="H68" s="2"/>
    </row>
    <row r="69" customFormat="false" ht="15" hidden="false" customHeight="false" outlineLevel="0" collapsed="false">
      <c r="A69" s="5" t="s">
        <v>141</v>
      </c>
      <c r="B69" s="7" t="n">
        <v>20</v>
      </c>
      <c r="C69" s="7" t="n">
        <v>1</v>
      </c>
      <c r="D69" s="17" t="n">
        <f aca="false">C69/B69</f>
        <v>0.05</v>
      </c>
      <c r="E69" s="17" t="n">
        <f aca="false">IF(B69&gt;=$H$2,D69,"")</f>
        <v>0.05</v>
      </c>
      <c r="F69" s="2"/>
      <c r="G69" s="2"/>
      <c r="H69" s="2"/>
    </row>
    <row r="70" customFormat="false" ht="15" hidden="false" customHeight="false" outlineLevel="0" collapsed="false">
      <c r="A70" s="5" t="s">
        <v>6</v>
      </c>
      <c r="B70" s="7" t="n">
        <v>2554</v>
      </c>
      <c r="C70" s="7" t="n">
        <v>122</v>
      </c>
      <c r="D70" s="17" t="n">
        <f aca="false">C70/B70</f>
        <v>0.0477682067345341</v>
      </c>
      <c r="E70" s="17" t="n">
        <f aca="false">IF(B70&gt;=$H$2,D70,"")</f>
        <v>0.0477682067345341</v>
      </c>
      <c r="F70" s="2"/>
      <c r="G70" s="2"/>
      <c r="H70" s="2"/>
    </row>
    <row r="71" customFormat="false" ht="15" hidden="false" customHeight="false" outlineLevel="0" collapsed="false">
      <c r="A71" s="5" t="s">
        <v>95</v>
      </c>
      <c r="B71" s="7" t="n">
        <v>105</v>
      </c>
      <c r="C71" s="7" t="n">
        <v>5</v>
      </c>
      <c r="D71" s="17" t="n">
        <f aca="false">C71/B71</f>
        <v>0.0476190476190476</v>
      </c>
      <c r="E71" s="17" t="n">
        <f aca="false">IF(B71&gt;=$H$2,D71,"")</f>
        <v>0.0476190476190476</v>
      </c>
      <c r="F71" s="2"/>
      <c r="G71" s="2"/>
      <c r="H71" s="2"/>
    </row>
    <row r="72" customFormat="false" ht="15" hidden="false" customHeight="false" outlineLevel="0" collapsed="false">
      <c r="A72" s="5" t="s">
        <v>63</v>
      </c>
      <c r="B72" s="7" t="n">
        <v>254</v>
      </c>
      <c r="C72" s="7" t="n">
        <v>12</v>
      </c>
      <c r="D72" s="17" t="n">
        <f aca="false">C72/B72</f>
        <v>0.047244094488189</v>
      </c>
      <c r="E72" s="17" t="n">
        <f aca="false">IF(B72&gt;=$H$2,D72,"")</f>
        <v>0.047244094488189</v>
      </c>
      <c r="F72" s="2"/>
      <c r="G72" s="2"/>
      <c r="H72" s="2"/>
    </row>
    <row r="73" customFormat="false" ht="15" hidden="false" customHeight="false" outlineLevel="0" collapsed="false">
      <c r="A73" s="5" t="s">
        <v>122</v>
      </c>
      <c r="B73" s="7" t="n">
        <v>44</v>
      </c>
      <c r="C73" s="7" t="n">
        <v>2</v>
      </c>
      <c r="D73" s="17" t="n">
        <f aca="false">C73/B73</f>
        <v>0.0454545454545455</v>
      </c>
      <c r="E73" s="17" t="n">
        <f aca="false">IF(B73&gt;=$H$2,D73,"")</f>
        <v>0.0454545454545455</v>
      </c>
      <c r="F73" s="2"/>
      <c r="G73" s="2"/>
      <c r="H73" s="2"/>
    </row>
    <row r="74" customFormat="false" ht="15" hidden="false" customHeight="false" outlineLevel="0" collapsed="false">
      <c r="A74" s="5" t="s">
        <v>140</v>
      </c>
      <c r="B74" s="7" t="n">
        <v>22</v>
      </c>
      <c r="C74" s="7" t="n">
        <v>1</v>
      </c>
      <c r="D74" s="17" t="n">
        <f aca="false">C74/B74</f>
        <v>0.0454545454545455</v>
      </c>
      <c r="E74" s="17" t="n">
        <f aca="false">IF(B74&gt;=$H$2,D74,"")</f>
        <v>0.0454545454545455</v>
      </c>
      <c r="F74" s="2"/>
      <c r="G74" s="2"/>
      <c r="H74" s="2"/>
    </row>
    <row r="75" customFormat="false" ht="15" hidden="false" customHeight="false" outlineLevel="0" collapsed="false">
      <c r="A75" s="5" t="s">
        <v>89</v>
      </c>
      <c r="B75" s="7" t="n">
        <v>114</v>
      </c>
      <c r="C75" s="7" t="n">
        <v>5</v>
      </c>
      <c r="D75" s="17" t="n">
        <f aca="false">C75/B75</f>
        <v>0.043859649122807</v>
      </c>
      <c r="E75" s="17" t="n">
        <f aca="false">IF(B75&gt;=$H$2,D75,"")</f>
        <v>0.043859649122807</v>
      </c>
      <c r="F75" s="2"/>
      <c r="G75" s="2"/>
      <c r="H75" s="2"/>
    </row>
    <row r="76" customFormat="false" ht="15" hidden="false" customHeight="false" outlineLevel="0" collapsed="false">
      <c r="A76" s="5" t="s">
        <v>33</v>
      </c>
      <c r="B76" s="7" t="n">
        <v>671</v>
      </c>
      <c r="C76" s="7" t="n">
        <v>29</v>
      </c>
      <c r="D76" s="17" t="n">
        <f aca="false">C76/B76</f>
        <v>0.0432190760059613</v>
      </c>
      <c r="E76" s="17" t="n">
        <f aca="false">IF(B76&gt;=$H$2,D76,"")</f>
        <v>0.0432190760059613</v>
      </c>
      <c r="F76" s="2"/>
      <c r="G76" s="2"/>
      <c r="H76" s="2"/>
    </row>
    <row r="77" customFormat="false" ht="15" hidden="false" customHeight="false" outlineLevel="0" collapsed="false">
      <c r="A77" s="5" t="s">
        <v>73</v>
      </c>
      <c r="B77" s="7" t="n">
        <v>214</v>
      </c>
      <c r="C77" s="7" t="n">
        <v>9</v>
      </c>
      <c r="D77" s="17" t="n">
        <f aca="false">C77/B77</f>
        <v>0.0420560747663551</v>
      </c>
      <c r="E77" s="17" t="n">
        <f aca="false">IF(B77&gt;=$H$2,D77,"")</f>
        <v>0.0420560747663551</v>
      </c>
      <c r="F77" s="2"/>
      <c r="G77" s="2"/>
      <c r="H77" s="2"/>
    </row>
    <row r="78" customFormat="false" ht="15" hidden="false" customHeight="false" outlineLevel="0" collapsed="false">
      <c r="A78" s="5" t="s">
        <v>52</v>
      </c>
      <c r="B78" s="7" t="n">
        <v>385</v>
      </c>
      <c r="C78" s="7" t="n">
        <v>16</v>
      </c>
      <c r="D78" s="17" t="n">
        <f aca="false">C78/B78</f>
        <v>0.0415584415584416</v>
      </c>
      <c r="E78" s="17" t="n">
        <f aca="false">IF(B78&gt;=$H$2,D78,"")</f>
        <v>0.0415584415584416</v>
      </c>
      <c r="F78" s="2"/>
      <c r="G78" s="2"/>
      <c r="H78" s="2"/>
    </row>
    <row r="79" customFormat="false" ht="15" hidden="false" customHeight="false" outlineLevel="0" collapsed="false">
      <c r="A79" s="5" t="s">
        <v>105</v>
      </c>
      <c r="B79" s="7" t="n">
        <v>74</v>
      </c>
      <c r="C79" s="7" t="n">
        <v>3</v>
      </c>
      <c r="D79" s="17" t="n">
        <f aca="false">C79/B79</f>
        <v>0.0405405405405405</v>
      </c>
      <c r="E79" s="17" t="n">
        <f aca="false">IF(B79&gt;=$H$2,D79,"")</f>
        <v>0.0405405405405405</v>
      </c>
      <c r="F79" s="2"/>
      <c r="G79" s="2"/>
      <c r="H79" s="2"/>
    </row>
    <row r="80" customFormat="false" ht="15" hidden="false" customHeight="false" outlineLevel="0" collapsed="false">
      <c r="A80" s="5" t="s">
        <v>60</v>
      </c>
      <c r="B80" s="7" t="n">
        <v>324</v>
      </c>
      <c r="C80" s="7" t="n">
        <v>13</v>
      </c>
      <c r="D80" s="17" t="n">
        <f aca="false">C80/B80</f>
        <v>0.0401234567901235</v>
      </c>
      <c r="E80" s="17" t="n">
        <f aca="false">IF(B80&gt;=$H$2,D80,"")</f>
        <v>0.0401234567901235</v>
      </c>
      <c r="F80" s="2"/>
      <c r="G80" s="2"/>
      <c r="H80" s="2"/>
    </row>
    <row r="81" customFormat="false" ht="15" hidden="false" customHeight="false" outlineLevel="0" collapsed="false">
      <c r="A81" s="5" t="s">
        <v>21</v>
      </c>
      <c r="B81" s="7" t="n">
        <v>1081</v>
      </c>
      <c r="C81" s="7" t="n">
        <v>43</v>
      </c>
      <c r="D81" s="17" t="n">
        <f aca="false">C81/B81</f>
        <v>0.0397779833487512</v>
      </c>
      <c r="E81" s="17" t="n">
        <f aca="false">IF(B81&gt;=$H$2,D81,"")</f>
        <v>0.0397779833487512</v>
      </c>
      <c r="F81" s="2"/>
      <c r="G81" s="2"/>
      <c r="H81" s="2"/>
    </row>
    <row r="82" customFormat="false" ht="15" hidden="false" customHeight="false" outlineLevel="0" collapsed="false">
      <c r="A82" s="5" t="s">
        <v>62</v>
      </c>
      <c r="B82" s="7" t="n">
        <v>333</v>
      </c>
      <c r="C82" s="7" t="n">
        <v>13</v>
      </c>
      <c r="D82" s="17" t="n">
        <f aca="false">C82/B82</f>
        <v>0.039039039039039</v>
      </c>
      <c r="E82" s="17" t="n">
        <f aca="false">IF(B82&gt;=$H$2,D82,"")</f>
        <v>0.039039039039039</v>
      </c>
      <c r="F82" s="2"/>
      <c r="G82" s="2"/>
      <c r="H82" s="2"/>
    </row>
    <row r="83" customFormat="false" ht="15" hidden="false" customHeight="false" outlineLevel="0" collapsed="false">
      <c r="A83" s="5" t="s">
        <v>66</v>
      </c>
      <c r="B83" s="7" t="n">
        <v>283</v>
      </c>
      <c r="C83" s="7" t="n">
        <v>11</v>
      </c>
      <c r="D83" s="17" t="n">
        <f aca="false">C83/B83</f>
        <v>0.03886925795053</v>
      </c>
      <c r="E83" s="17" t="n">
        <f aca="false">IF(B83&gt;=$H$2,D83,"")</f>
        <v>0.03886925795053</v>
      </c>
      <c r="F83" s="2"/>
      <c r="G83" s="2"/>
      <c r="H83" s="2"/>
    </row>
    <row r="84" customFormat="false" ht="15" hidden="false" customHeight="false" outlineLevel="0" collapsed="false">
      <c r="A84" s="5" t="s">
        <v>112</v>
      </c>
      <c r="B84" s="7" t="n">
        <v>79</v>
      </c>
      <c r="C84" s="7" t="n">
        <v>3</v>
      </c>
      <c r="D84" s="17" t="n">
        <f aca="false">C84/B84</f>
        <v>0.0379746835443038</v>
      </c>
      <c r="E84" s="17" t="n">
        <f aca="false">IF(B84&gt;=$H$2,D84,"")</f>
        <v>0.0379746835443038</v>
      </c>
      <c r="F84" s="2"/>
      <c r="G84" s="2"/>
      <c r="H84" s="2"/>
    </row>
    <row r="85" customFormat="false" ht="15" hidden="false" customHeight="false" outlineLevel="0" collapsed="false">
      <c r="A85" s="5" t="s">
        <v>41</v>
      </c>
      <c r="B85" s="7" t="n">
        <v>642</v>
      </c>
      <c r="C85" s="7" t="n">
        <v>24</v>
      </c>
      <c r="D85" s="17" t="n">
        <f aca="false">C85/B85</f>
        <v>0.0373831775700935</v>
      </c>
      <c r="E85" s="17" t="n">
        <f aca="false">IF(B85&gt;=$H$2,D85,"")</f>
        <v>0.0373831775700935</v>
      </c>
      <c r="F85" s="2"/>
      <c r="G85" s="2"/>
      <c r="H85" s="2"/>
    </row>
    <row r="86" customFormat="false" ht="15" hidden="false" customHeight="false" outlineLevel="0" collapsed="false">
      <c r="A86" s="5" t="s">
        <v>40</v>
      </c>
      <c r="B86" s="7" t="n">
        <v>647</v>
      </c>
      <c r="C86" s="7" t="n">
        <v>24</v>
      </c>
      <c r="D86" s="17" t="n">
        <f aca="false">C86/B86</f>
        <v>0.0370942812982998</v>
      </c>
      <c r="E86" s="17" t="n">
        <f aca="false">IF(B86&gt;=$H$2,D86,"")</f>
        <v>0.0370942812982998</v>
      </c>
      <c r="F86" s="2"/>
      <c r="G86" s="2"/>
      <c r="H86" s="2"/>
    </row>
    <row r="87" customFormat="false" ht="15" hidden="false" customHeight="false" outlineLevel="0" collapsed="false">
      <c r="A87" s="5" t="s">
        <v>125</v>
      </c>
      <c r="B87" s="7" t="n">
        <v>54</v>
      </c>
      <c r="C87" s="7" t="n">
        <v>2</v>
      </c>
      <c r="D87" s="17" t="n">
        <f aca="false">C87/B87</f>
        <v>0.037037037037037</v>
      </c>
      <c r="E87" s="17" t="n">
        <f aca="false">IF(B87&gt;=$H$2,D87,"")</f>
        <v>0.037037037037037</v>
      </c>
      <c r="F87" s="2"/>
      <c r="G87" s="2"/>
      <c r="H87" s="2"/>
    </row>
    <row r="88" customFormat="false" ht="15" hidden="false" customHeight="false" outlineLevel="0" collapsed="false">
      <c r="A88" s="5" t="s">
        <v>85</v>
      </c>
      <c r="B88" s="7" t="n">
        <v>192</v>
      </c>
      <c r="C88" s="7" t="n">
        <v>6</v>
      </c>
      <c r="D88" s="17" t="n">
        <f aca="false">C88/B88</f>
        <v>0.03125</v>
      </c>
      <c r="E88" s="17" t="n">
        <f aca="false">IF(B88&gt;=$H$2,D88,"")</f>
        <v>0.03125</v>
      </c>
      <c r="F88" s="2"/>
      <c r="G88" s="2"/>
      <c r="H88" s="2"/>
    </row>
    <row r="89" customFormat="false" ht="15" hidden="false" customHeight="false" outlineLevel="0" collapsed="false">
      <c r="A89" s="5" t="s">
        <v>101</v>
      </c>
      <c r="B89" s="7" t="n">
        <v>131</v>
      </c>
      <c r="C89" s="7" t="n">
        <v>4</v>
      </c>
      <c r="D89" s="17" t="n">
        <f aca="false">C89/B89</f>
        <v>0.0305343511450382</v>
      </c>
      <c r="E89" s="17" t="n">
        <f aca="false">IF(B89&gt;=$H$2,D89,"")</f>
        <v>0.0305343511450382</v>
      </c>
      <c r="F89" s="2"/>
      <c r="G89" s="2"/>
      <c r="H89" s="2"/>
    </row>
    <row r="90" customFormat="false" ht="15" hidden="false" customHeight="false" outlineLevel="0" collapsed="false">
      <c r="A90" s="5" t="s">
        <v>55</v>
      </c>
      <c r="B90" s="7" t="n">
        <v>510</v>
      </c>
      <c r="C90" s="7" t="n">
        <v>15</v>
      </c>
      <c r="D90" s="17" t="n">
        <f aca="false">C90/B90</f>
        <v>0.0294117647058824</v>
      </c>
      <c r="E90" s="17" t="n">
        <f aca="false">IF(B90&gt;=$H$2,D90,"")</f>
        <v>0.0294117647058824</v>
      </c>
      <c r="F90" s="2"/>
      <c r="G90" s="2"/>
      <c r="H90" s="2"/>
    </row>
    <row r="91" customFormat="false" ht="15" hidden="false" customHeight="false" outlineLevel="0" collapsed="false">
      <c r="A91" s="5" t="s">
        <v>98</v>
      </c>
      <c r="B91" s="7" t="n">
        <v>137</v>
      </c>
      <c r="C91" s="7" t="n">
        <v>4</v>
      </c>
      <c r="D91" s="17" t="n">
        <f aca="false">C91/B91</f>
        <v>0.0291970802919708</v>
      </c>
      <c r="E91" s="17" t="n">
        <f aca="false">IF(B91&gt;=$H$2,D91,"")</f>
        <v>0.0291970802919708</v>
      </c>
      <c r="F91" s="2"/>
      <c r="G91" s="2"/>
      <c r="H91" s="2"/>
    </row>
    <row r="92" customFormat="false" ht="15" hidden="false" customHeight="false" outlineLevel="0" collapsed="false">
      <c r="A92" s="5" t="s">
        <v>90</v>
      </c>
      <c r="B92" s="7" t="n">
        <v>172</v>
      </c>
      <c r="C92" s="7" t="n">
        <v>5</v>
      </c>
      <c r="D92" s="17" t="n">
        <f aca="false">C92/B92</f>
        <v>0.0290697674418605</v>
      </c>
      <c r="E92" s="17" t="n">
        <f aca="false">IF(B92&gt;=$H$2,D92,"")</f>
        <v>0.0290697674418605</v>
      </c>
      <c r="F92" s="2"/>
      <c r="G92" s="2"/>
      <c r="H92" s="2"/>
    </row>
    <row r="93" customFormat="false" ht="15" hidden="false" customHeight="false" outlineLevel="0" collapsed="false">
      <c r="A93" s="5" t="s">
        <v>23</v>
      </c>
      <c r="B93" s="7" t="n">
        <v>1511</v>
      </c>
      <c r="C93" s="7" t="n">
        <v>43</v>
      </c>
      <c r="D93" s="17" t="n">
        <f aca="false">C93/B93</f>
        <v>0.028457974851092</v>
      </c>
      <c r="E93" s="17" t="n">
        <f aca="false">IF(B93&gt;=$H$2,D93,"")</f>
        <v>0.028457974851092</v>
      </c>
      <c r="F93" s="2"/>
      <c r="G93" s="2"/>
      <c r="H93" s="2"/>
    </row>
    <row r="94" customFormat="false" ht="15" hidden="false" customHeight="false" outlineLevel="0" collapsed="false">
      <c r="A94" s="5" t="s">
        <v>47</v>
      </c>
      <c r="B94" s="7" t="n">
        <v>640</v>
      </c>
      <c r="C94" s="7" t="n">
        <v>18</v>
      </c>
      <c r="D94" s="17" t="n">
        <f aca="false">C94/B94</f>
        <v>0.028125</v>
      </c>
      <c r="E94" s="17" t="n">
        <f aca="false">IF(B94&gt;=$H$2,D94,"")</f>
        <v>0.028125</v>
      </c>
      <c r="F94" s="2"/>
      <c r="G94" s="2"/>
      <c r="H94" s="2"/>
    </row>
    <row r="95" customFormat="false" ht="15" hidden="false" customHeight="false" outlineLevel="0" collapsed="false">
      <c r="A95" s="5" t="s">
        <v>100</v>
      </c>
      <c r="B95" s="7" t="n">
        <v>154</v>
      </c>
      <c r="C95" s="7" t="n">
        <v>4</v>
      </c>
      <c r="D95" s="17" t="n">
        <f aca="false">C95/B95</f>
        <v>0.025974025974026</v>
      </c>
      <c r="E95" s="17" t="n">
        <f aca="false">IF(B95&gt;=$H$2,D95,"")</f>
        <v>0.025974025974026</v>
      </c>
      <c r="F95" s="2"/>
      <c r="G95" s="2"/>
      <c r="H95" s="2"/>
    </row>
    <row r="96" customFormat="false" ht="15" hidden="false" customHeight="false" outlineLevel="0" collapsed="false">
      <c r="A96" s="5" t="s">
        <v>43</v>
      </c>
      <c r="B96" s="7" t="n">
        <v>946</v>
      </c>
      <c r="C96" s="7" t="n">
        <v>23</v>
      </c>
      <c r="D96" s="17" t="n">
        <f aca="false">C96/B96</f>
        <v>0.0243128964059197</v>
      </c>
      <c r="E96" s="17" t="n">
        <f aca="false">IF(B96&gt;=$H$2,D96,"")</f>
        <v>0.0243128964059197</v>
      </c>
      <c r="F96" s="2"/>
      <c r="G96" s="2"/>
      <c r="H96" s="2"/>
    </row>
    <row r="97" customFormat="false" ht="15" hidden="false" customHeight="false" outlineLevel="0" collapsed="false">
      <c r="A97" s="5" t="s">
        <v>121</v>
      </c>
      <c r="B97" s="7" t="n">
        <v>86</v>
      </c>
      <c r="C97" s="7" t="n">
        <v>2</v>
      </c>
      <c r="D97" s="17" t="n">
        <f aca="false">C97/B97</f>
        <v>0.0232558139534884</v>
      </c>
      <c r="E97" s="17" t="n">
        <f aca="false">IF(B97&gt;=$H$2,D97,"")</f>
        <v>0.0232558139534884</v>
      </c>
      <c r="F97" s="2"/>
      <c r="G97" s="2"/>
      <c r="H97" s="2"/>
    </row>
    <row r="98" customFormat="false" ht="15" hidden="false" customHeight="false" outlineLevel="0" collapsed="false">
      <c r="A98" s="5" t="s">
        <v>86</v>
      </c>
      <c r="B98" s="7" t="n">
        <v>258</v>
      </c>
      <c r="C98" s="7" t="n">
        <v>6</v>
      </c>
      <c r="D98" s="17" t="n">
        <f aca="false">C98/B98</f>
        <v>0.0232558139534884</v>
      </c>
      <c r="E98" s="17" t="n">
        <f aca="false">IF(B98&gt;=$H$2,D98,"")</f>
        <v>0.0232558139534884</v>
      </c>
      <c r="F98" s="2"/>
      <c r="G98" s="2"/>
      <c r="H98" s="2"/>
    </row>
    <row r="99" customFormat="false" ht="15" hidden="false" customHeight="false" outlineLevel="0" collapsed="false">
      <c r="A99" s="5" t="s">
        <v>71</v>
      </c>
      <c r="B99" s="7" t="n">
        <v>432</v>
      </c>
      <c r="C99" s="7" t="n">
        <v>10</v>
      </c>
      <c r="D99" s="17" t="n">
        <f aca="false">C99/B99</f>
        <v>0.0231481481481481</v>
      </c>
      <c r="E99" s="17" t="n">
        <f aca="false">IF(B99&gt;=$H$2,D99,"")</f>
        <v>0.0231481481481481</v>
      </c>
      <c r="F99" s="2"/>
      <c r="G99" s="2"/>
      <c r="H99" s="2"/>
    </row>
    <row r="100" customFormat="false" ht="15" hidden="false" customHeight="false" outlineLevel="0" collapsed="false">
      <c r="A100" s="5" t="s">
        <v>111</v>
      </c>
      <c r="B100" s="7" t="n">
        <v>137</v>
      </c>
      <c r="C100" s="7" t="n">
        <v>3</v>
      </c>
      <c r="D100" s="17" t="n">
        <f aca="false">C100/B100</f>
        <v>0.0218978102189781</v>
      </c>
      <c r="E100" s="17" t="n">
        <f aca="false">IF(B100&gt;=$H$2,D100,"")</f>
        <v>0.0218978102189781</v>
      </c>
      <c r="F100" s="2"/>
      <c r="G100" s="2"/>
      <c r="H100" s="2"/>
    </row>
    <row r="101" customFormat="false" ht="15" hidden="false" customHeight="false" outlineLevel="0" collapsed="false">
      <c r="A101" s="5" t="s">
        <v>103</v>
      </c>
      <c r="B101" s="7" t="n">
        <v>184</v>
      </c>
      <c r="C101" s="7" t="n">
        <v>4</v>
      </c>
      <c r="D101" s="17" t="n">
        <f aca="false">C101/B101</f>
        <v>0.0217391304347826</v>
      </c>
      <c r="E101" s="17" t="n">
        <f aca="false">IF(B101&gt;=$H$2,D101,"")</f>
        <v>0.0217391304347826</v>
      </c>
      <c r="F101" s="2"/>
      <c r="G101" s="2"/>
      <c r="H101" s="2"/>
    </row>
    <row r="102" customFormat="false" ht="15" hidden="false" customHeight="false" outlineLevel="0" collapsed="false">
      <c r="A102" s="5" t="s">
        <v>115</v>
      </c>
      <c r="B102" s="7" t="n">
        <v>93</v>
      </c>
      <c r="C102" s="7" t="n">
        <v>2</v>
      </c>
      <c r="D102" s="17" t="n">
        <f aca="false">C102/B102</f>
        <v>0.021505376344086</v>
      </c>
      <c r="E102" s="17" t="n">
        <f aca="false">IF(B102&gt;=$H$2,D102,"")</f>
        <v>0.021505376344086</v>
      </c>
      <c r="F102" s="2"/>
      <c r="G102" s="2"/>
      <c r="H102" s="2"/>
    </row>
    <row r="103" customFormat="false" ht="15" hidden="false" customHeight="false" outlineLevel="0" collapsed="false">
      <c r="A103" s="5" t="s">
        <v>68</v>
      </c>
      <c r="B103" s="7" t="n">
        <v>552</v>
      </c>
      <c r="C103" s="7" t="n">
        <v>11</v>
      </c>
      <c r="D103" s="17" t="n">
        <f aca="false">C103/B103</f>
        <v>0.0199275362318841</v>
      </c>
      <c r="E103" s="17" t="n">
        <f aca="false">IF(B103&gt;=$H$2,D103,"")</f>
        <v>0.0199275362318841</v>
      </c>
      <c r="F103" s="2"/>
      <c r="G103" s="2"/>
      <c r="H103" s="2"/>
    </row>
    <row r="104" customFormat="false" ht="15" hidden="false" customHeight="false" outlineLevel="0" collapsed="false">
      <c r="A104" s="5" t="s">
        <v>120</v>
      </c>
      <c r="B104" s="7" t="n">
        <v>104</v>
      </c>
      <c r="C104" s="7" t="n">
        <v>2</v>
      </c>
      <c r="D104" s="17" t="n">
        <f aca="false">C104/B104</f>
        <v>0.0192307692307692</v>
      </c>
      <c r="E104" s="17" t="n">
        <f aca="false">IF(B104&gt;=$H$2,D104,"")</f>
        <v>0.0192307692307692</v>
      </c>
      <c r="F104" s="2"/>
      <c r="G104" s="2"/>
      <c r="H104" s="2"/>
    </row>
    <row r="105" customFormat="false" ht="15" hidden="false" customHeight="false" outlineLevel="0" collapsed="false">
      <c r="A105" s="5" t="s">
        <v>102</v>
      </c>
      <c r="B105" s="7" t="n">
        <v>226</v>
      </c>
      <c r="C105" s="7" t="n">
        <v>4</v>
      </c>
      <c r="D105" s="17" t="n">
        <f aca="false">C105/B105</f>
        <v>0.0176991150442478</v>
      </c>
      <c r="E105" s="17" t="n">
        <f aca="false">IF(B105&gt;=$H$2,D105,"")</f>
        <v>0.0176991150442478</v>
      </c>
      <c r="F105" s="2"/>
      <c r="G105" s="2"/>
      <c r="H105" s="2"/>
    </row>
    <row r="106" customFormat="false" ht="15" hidden="false" customHeight="false" outlineLevel="0" collapsed="false">
      <c r="A106" s="5" t="s">
        <v>57</v>
      </c>
      <c r="B106" s="7" t="n">
        <v>799</v>
      </c>
      <c r="C106" s="7" t="n">
        <v>14</v>
      </c>
      <c r="D106" s="17" t="n">
        <f aca="false">C106/B106</f>
        <v>0.0175219023779725</v>
      </c>
      <c r="E106" s="17" t="n">
        <f aca="false">IF(B106&gt;=$H$2,D106,"")</f>
        <v>0.0175219023779725</v>
      </c>
      <c r="F106" s="2"/>
      <c r="G106" s="2"/>
      <c r="H106" s="2"/>
    </row>
    <row r="107" customFormat="false" ht="15" hidden="false" customHeight="false" outlineLevel="0" collapsed="false">
      <c r="A107" s="5" t="s">
        <v>80</v>
      </c>
      <c r="B107" s="7" t="n">
        <v>410</v>
      </c>
      <c r="C107" s="7" t="n">
        <v>7</v>
      </c>
      <c r="D107" s="17" t="n">
        <f aca="false">C107/B107</f>
        <v>0.0170731707317073</v>
      </c>
      <c r="E107" s="17" t="n">
        <f aca="false">IF(B107&gt;=$H$2,D107,"")</f>
        <v>0.0170731707317073</v>
      </c>
      <c r="F107" s="2"/>
      <c r="G107" s="2"/>
      <c r="H107" s="2"/>
    </row>
    <row r="108" customFormat="false" ht="15" hidden="false" customHeight="false" outlineLevel="0" collapsed="false">
      <c r="A108" s="5" t="s">
        <v>64</v>
      </c>
      <c r="B108" s="7" t="n">
        <v>721</v>
      </c>
      <c r="C108" s="7" t="n">
        <v>12</v>
      </c>
      <c r="D108" s="17" t="n">
        <f aca="false">C108/B108</f>
        <v>0.0166435506241331</v>
      </c>
      <c r="E108" s="17" t="n">
        <f aca="false">IF(B108&gt;=$H$2,D108,"")</f>
        <v>0.0166435506241331</v>
      </c>
      <c r="F108" s="2"/>
      <c r="G108" s="2"/>
      <c r="H108" s="2"/>
    </row>
    <row r="109" customFormat="false" ht="15" hidden="false" customHeight="false" outlineLevel="0" collapsed="false">
      <c r="A109" s="5" t="s">
        <v>119</v>
      </c>
      <c r="B109" s="7" t="n">
        <v>126</v>
      </c>
      <c r="C109" s="7" t="n">
        <v>2</v>
      </c>
      <c r="D109" s="17" t="n">
        <f aca="false">C109/B109</f>
        <v>0.0158730158730159</v>
      </c>
      <c r="E109" s="17" t="n">
        <f aca="false">IF(B109&gt;=$H$2,D109,"")</f>
        <v>0.0158730158730159</v>
      </c>
      <c r="F109" s="2"/>
      <c r="G109" s="2"/>
      <c r="H109" s="2"/>
    </row>
    <row r="110" customFormat="false" ht="15" hidden="false" customHeight="false" outlineLevel="0" collapsed="false">
      <c r="A110" s="5" t="s">
        <v>135</v>
      </c>
      <c r="B110" s="7" t="n">
        <v>66</v>
      </c>
      <c r="C110" s="7" t="n">
        <v>1</v>
      </c>
      <c r="D110" s="17" t="n">
        <f aca="false">C110/B110</f>
        <v>0.0151515151515152</v>
      </c>
      <c r="E110" s="17" t="n">
        <f aca="false">IF(B110&gt;=$H$2,D110,"")</f>
        <v>0.0151515151515152</v>
      </c>
      <c r="F110" s="2"/>
      <c r="G110" s="2"/>
      <c r="H110" s="2"/>
    </row>
    <row r="111" customFormat="false" ht="15" hidden="false" customHeight="false" outlineLevel="0" collapsed="false">
      <c r="A111" s="5" t="s">
        <v>139</v>
      </c>
      <c r="B111" s="7" t="n">
        <v>73</v>
      </c>
      <c r="C111" s="7" t="n">
        <v>1</v>
      </c>
      <c r="D111" s="17" t="n">
        <f aca="false">C111/B111</f>
        <v>0.0136986301369863</v>
      </c>
      <c r="E111" s="17" t="n">
        <f aca="false">IF(B111&gt;=$H$2,D111,"")</f>
        <v>0.0136986301369863</v>
      </c>
      <c r="F111" s="2"/>
      <c r="G111" s="2"/>
      <c r="H111" s="2"/>
    </row>
    <row r="112" customFormat="false" ht="15" hidden="false" customHeight="false" outlineLevel="0" collapsed="false">
      <c r="A112" s="5" t="s">
        <v>118</v>
      </c>
      <c r="B112" s="7" t="n">
        <v>161</v>
      </c>
      <c r="C112" s="7" t="n">
        <v>2</v>
      </c>
      <c r="D112" s="17" t="n">
        <f aca="false">C112/B112</f>
        <v>0.0124223602484472</v>
      </c>
      <c r="E112" s="17" t="n">
        <f aca="false">IF(B112&gt;=$H$2,D112,"")</f>
        <v>0.0124223602484472</v>
      </c>
      <c r="F112" s="2"/>
      <c r="G112" s="2"/>
      <c r="H112" s="2"/>
    </row>
    <row r="113" customFormat="false" ht="15" hidden="false" customHeight="false" outlineLevel="0" collapsed="false">
      <c r="A113" s="5" t="s">
        <v>131</v>
      </c>
      <c r="B113" s="7" t="n">
        <v>87</v>
      </c>
      <c r="C113" s="7" t="n">
        <v>1</v>
      </c>
      <c r="D113" s="17" t="n">
        <f aca="false">C113/B113</f>
        <v>0.0114942528735632</v>
      </c>
      <c r="E113" s="17" t="n">
        <f aca="false">IF(B113&gt;=$H$2,D113,"")</f>
        <v>0.0114942528735632</v>
      </c>
      <c r="F113" s="2"/>
      <c r="G113" s="2"/>
      <c r="H113" s="2"/>
    </row>
    <row r="114" customFormat="false" ht="15" hidden="false" customHeight="false" outlineLevel="0" collapsed="false">
      <c r="A114" s="5" t="s">
        <v>127</v>
      </c>
      <c r="B114" s="7" t="n">
        <v>93</v>
      </c>
      <c r="C114" s="7" t="n">
        <v>1</v>
      </c>
      <c r="D114" s="17" t="n">
        <f aca="false">C114/B114</f>
        <v>0.010752688172043</v>
      </c>
      <c r="E114" s="17" t="n">
        <f aca="false">IF(B114&gt;=$H$2,D114,"")</f>
        <v>0.010752688172043</v>
      </c>
      <c r="F114" s="2"/>
      <c r="G114" s="2"/>
      <c r="H114" s="2"/>
    </row>
    <row r="115" customFormat="false" ht="15" hidden="false" customHeight="false" outlineLevel="0" collapsed="false">
      <c r="A115" s="5" t="s">
        <v>114</v>
      </c>
      <c r="B115" s="7" t="n">
        <v>216</v>
      </c>
      <c r="C115" s="7" t="n">
        <v>2</v>
      </c>
      <c r="D115" s="17" t="n">
        <f aca="false">C115/B115</f>
        <v>0.00925925925925926</v>
      </c>
      <c r="E115" s="17" t="n">
        <f aca="false">IF(B115&gt;=$H$2,D115,"")</f>
        <v>0.00925925925925926</v>
      </c>
      <c r="F115" s="2"/>
      <c r="G115" s="2"/>
      <c r="H115" s="2"/>
    </row>
    <row r="116" customFormat="false" ht="15" hidden="false" customHeight="false" outlineLevel="0" collapsed="false">
      <c r="A116" s="5" t="s">
        <v>116</v>
      </c>
      <c r="B116" s="7" t="n">
        <v>220</v>
      </c>
      <c r="C116" s="7" t="n">
        <v>2</v>
      </c>
      <c r="D116" s="17" t="n">
        <f aca="false">C116/B116</f>
        <v>0.00909090909090909</v>
      </c>
      <c r="E116" s="17" t="n">
        <f aca="false">IF(B116&gt;=$H$2,D116,"")</f>
        <v>0.00909090909090909</v>
      </c>
      <c r="F116" s="2"/>
      <c r="G116" s="2"/>
      <c r="H116" s="2"/>
    </row>
    <row r="117" customFormat="false" ht="15" hidden="false" customHeight="false" outlineLevel="0" collapsed="false">
      <c r="A117" s="5" t="s">
        <v>138</v>
      </c>
      <c r="B117" s="7" t="n">
        <v>117</v>
      </c>
      <c r="C117" s="7" t="n">
        <v>1</v>
      </c>
      <c r="D117" s="17" t="n">
        <f aca="false">C117/B117</f>
        <v>0.00854700854700855</v>
      </c>
      <c r="E117" s="17" t="n">
        <f aca="false">IF(B117&gt;=$H$2,D117,"")</f>
        <v>0.00854700854700855</v>
      </c>
      <c r="F117" s="2"/>
      <c r="G117" s="2"/>
      <c r="H117" s="2"/>
    </row>
    <row r="118" customFormat="false" ht="15" hidden="false" customHeight="false" outlineLevel="0" collapsed="false">
      <c r="A118" s="5" t="s">
        <v>104</v>
      </c>
      <c r="B118" s="7" t="n">
        <v>354</v>
      </c>
      <c r="C118" s="7" t="n">
        <v>3</v>
      </c>
      <c r="D118" s="17" t="n">
        <f aca="false">C118/B118</f>
        <v>0.00847457627118644</v>
      </c>
      <c r="E118" s="17" t="n">
        <f aca="false">IF(B118&gt;=$H$2,D118,"")</f>
        <v>0.00847457627118644</v>
      </c>
      <c r="F118" s="2"/>
      <c r="G118" s="2"/>
      <c r="H118" s="2"/>
    </row>
    <row r="119" customFormat="false" ht="15" hidden="false" customHeight="false" outlineLevel="0" collapsed="false">
      <c r="A119" s="5" t="s">
        <v>78</v>
      </c>
      <c r="B119" s="7" t="n">
        <v>1022</v>
      </c>
      <c r="C119" s="7" t="n">
        <v>7</v>
      </c>
      <c r="D119" s="17" t="n">
        <f aca="false">C119/B119</f>
        <v>0.00684931506849315</v>
      </c>
      <c r="E119" s="17" t="n">
        <f aca="false">IF(B119&gt;=$H$2,D119,"")</f>
        <v>0.00684931506849315</v>
      </c>
      <c r="F119" s="2"/>
      <c r="G119" s="2"/>
      <c r="H119" s="2"/>
    </row>
    <row r="120" customFormat="false" ht="15" hidden="false" customHeight="false" outlineLevel="0" collapsed="false">
      <c r="A120" s="5" t="s">
        <v>128</v>
      </c>
      <c r="B120" s="7" t="n">
        <v>147</v>
      </c>
      <c r="C120" s="7" t="n">
        <v>1</v>
      </c>
      <c r="D120" s="17" t="n">
        <f aca="false">C120/B120</f>
        <v>0.00680272108843537</v>
      </c>
      <c r="E120" s="17" t="n">
        <f aca="false">IF(B120&gt;=$H$2,D120,"")</f>
        <v>0.00680272108843537</v>
      </c>
      <c r="F120" s="2"/>
      <c r="G120" s="2"/>
      <c r="H120" s="2"/>
    </row>
    <row r="121" customFormat="false" ht="15" hidden="false" customHeight="false" outlineLevel="0" collapsed="false">
      <c r="A121" s="5" t="s">
        <v>133</v>
      </c>
      <c r="B121" s="7" t="n">
        <v>155</v>
      </c>
      <c r="C121" s="7" t="n">
        <v>1</v>
      </c>
      <c r="D121" s="17" t="n">
        <f aca="false">C121/B121</f>
        <v>0.00645161290322581</v>
      </c>
      <c r="E121" s="17" t="n">
        <f aca="false">IF(B121&gt;=$H$2,D121,"")</f>
        <v>0.00645161290322581</v>
      </c>
      <c r="F121" s="2"/>
      <c r="G121" s="2"/>
      <c r="H121" s="2"/>
    </row>
    <row r="122" customFormat="false" ht="15" hidden="false" customHeight="false" outlineLevel="0" collapsed="false">
      <c r="A122" s="5" t="s">
        <v>94</v>
      </c>
      <c r="B122" s="7" t="n">
        <v>832</v>
      </c>
      <c r="C122" s="7" t="n">
        <v>5</v>
      </c>
      <c r="D122" s="17" t="n">
        <f aca="false">C122/B122</f>
        <v>0.00600961538461539</v>
      </c>
      <c r="E122" s="17" t="n">
        <f aca="false">IF(B122&gt;=$H$2,D122,"")</f>
        <v>0.00600961538461539</v>
      </c>
      <c r="F122" s="2"/>
      <c r="G122" s="2"/>
      <c r="H122" s="2"/>
    </row>
    <row r="123" customFormat="false" ht="15" hidden="false" customHeight="false" outlineLevel="0" collapsed="false">
      <c r="A123" s="5" t="s">
        <v>117</v>
      </c>
      <c r="B123" s="7" t="n">
        <v>420</v>
      </c>
      <c r="C123" s="7" t="n">
        <v>2</v>
      </c>
      <c r="D123" s="17" t="n">
        <f aca="false">C123/B123</f>
        <v>0.00476190476190476</v>
      </c>
      <c r="E123" s="17" t="n">
        <f aca="false">IF(B123&gt;=$H$2,D123,"")</f>
        <v>0.00476190476190476</v>
      </c>
      <c r="F123" s="2"/>
      <c r="G123" s="2"/>
      <c r="H123" s="2"/>
    </row>
    <row r="124" customFormat="false" ht="15" hidden="false" customHeight="false" outlineLevel="0" collapsed="false">
      <c r="A124" s="5" t="s">
        <v>91</v>
      </c>
      <c r="B124" s="7" t="n">
        <v>1065</v>
      </c>
      <c r="C124" s="7" t="n">
        <v>5</v>
      </c>
      <c r="D124" s="17" t="n">
        <f aca="false">C124/B124</f>
        <v>0.00469483568075117</v>
      </c>
      <c r="E124" s="17" t="n">
        <f aca="false">IF(B124&gt;=$H$2,D124,"")</f>
        <v>0.00469483568075117</v>
      </c>
      <c r="F124" s="2"/>
      <c r="G124" s="2"/>
      <c r="H124" s="2"/>
    </row>
    <row r="125" customFormat="false" ht="15" hidden="false" customHeight="false" outlineLevel="0" collapsed="false">
      <c r="A125" s="5" t="s">
        <v>97</v>
      </c>
      <c r="B125" s="7" t="n">
        <v>1128</v>
      </c>
      <c r="C125" s="7" t="n">
        <v>5</v>
      </c>
      <c r="D125" s="17" t="n">
        <f aca="false">C125/B125</f>
        <v>0.00443262411347518</v>
      </c>
      <c r="E125" s="17" t="n">
        <f aca="false">IF(B125&gt;=$H$2,D125,"")</f>
        <v>0.00443262411347518</v>
      </c>
      <c r="F125" s="2"/>
      <c r="G125" s="2"/>
      <c r="H125" s="2"/>
    </row>
    <row r="126" customFormat="false" ht="15" hidden="false" customHeight="false" outlineLevel="0" collapsed="false">
      <c r="A126" s="5" t="s">
        <v>142</v>
      </c>
      <c r="B126" s="7" t="n">
        <v>324</v>
      </c>
      <c r="C126" s="7" t="n">
        <v>1</v>
      </c>
      <c r="D126" s="17" t="n">
        <f aca="false">C126/B126</f>
        <v>0.00308641975308642</v>
      </c>
      <c r="E126" s="17" t="n">
        <f aca="false">IF(B126&gt;=$H$2,D126,"")</f>
        <v>0.00308641975308642</v>
      </c>
      <c r="F126" s="2"/>
      <c r="G126" s="2"/>
      <c r="H126" s="2"/>
    </row>
    <row r="127" customFormat="false" ht="15" hidden="false" customHeight="false" outlineLevel="0" collapsed="false">
      <c r="A127" s="5" t="s">
        <v>143</v>
      </c>
      <c r="B127" s="7" t="n">
        <v>52</v>
      </c>
      <c r="C127" s="7" t="n">
        <v>0</v>
      </c>
      <c r="D127" s="17" t="n">
        <f aca="false">C127/B127</f>
        <v>0</v>
      </c>
      <c r="E127" s="17" t="n">
        <f aca="false">IF(B127&gt;=$H$2,D127,"")</f>
        <v>0</v>
      </c>
      <c r="F127" s="2"/>
      <c r="G127" s="2"/>
      <c r="H127" s="2"/>
    </row>
    <row r="128" customFormat="false" ht="15" hidden="false" customHeight="false" outlineLevel="0" collapsed="false">
      <c r="A128" s="5" t="s">
        <v>145</v>
      </c>
      <c r="B128" s="7" t="n">
        <v>27</v>
      </c>
      <c r="C128" s="7" t="n">
        <v>0</v>
      </c>
      <c r="D128" s="17" t="n">
        <f aca="false">C128/B128</f>
        <v>0</v>
      </c>
      <c r="E128" s="17" t="n">
        <f aca="false">IF(B128&gt;=$H$2,D128,"")</f>
        <v>0</v>
      </c>
      <c r="F128" s="2"/>
      <c r="G128" s="2"/>
      <c r="H128" s="2"/>
    </row>
    <row r="129" customFormat="false" ht="15" hidden="false" customHeight="false" outlineLevel="0" collapsed="false">
      <c r="A129" s="5" t="s">
        <v>146</v>
      </c>
      <c r="B129" s="7" t="n">
        <v>164</v>
      </c>
      <c r="C129" s="7" t="n">
        <v>0</v>
      </c>
      <c r="D129" s="17" t="n">
        <f aca="false">C129/B129</f>
        <v>0</v>
      </c>
      <c r="E129" s="17" t="n">
        <f aca="false">IF(B129&gt;=$H$2,D129,"")</f>
        <v>0</v>
      </c>
      <c r="F129" s="2"/>
      <c r="G129" s="2"/>
      <c r="H129" s="2"/>
    </row>
    <row r="130" customFormat="false" ht="15" hidden="false" customHeight="false" outlineLevel="0" collapsed="false">
      <c r="A130" s="5" t="s">
        <v>147</v>
      </c>
      <c r="B130" s="7" t="n">
        <v>7</v>
      </c>
      <c r="C130" s="7" t="n">
        <v>0</v>
      </c>
      <c r="D130" s="17" t="n">
        <f aca="false">C130/B130</f>
        <v>0</v>
      </c>
      <c r="E130" s="17" t="str">
        <f aca="false">IF(B130&gt;=$H$2,D130,"")</f>
        <v/>
      </c>
      <c r="F130" s="2"/>
      <c r="G130" s="2"/>
      <c r="H130" s="2"/>
    </row>
    <row r="131" customFormat="false" ht="15" hidden="false" customHeight="false" outlineLevel="0" collapsed="false">
      <c r="A131" s="5" t="s">
        <v>148</v>
      </c>
      <c r="B131" s="7" t="n">
        <v>24</v>
      </c>
      <c r="C131" s="7" t="n">
        <v>0</v>
      </c>
      <c r="D131" s="17" t="n">
        <f aca="false">C131/B131</f>
        <v>0</v>
      </c>
      <c r="E131" s="17" t="n">
        <f aca="false">IF(B131&gt;=$H$2,D131,"")</f>
        <v>0</v>
      </c>
      <c r="F131" s="2"/>
      <c r="G131" s="2"/>
      <c r="H131" s="2"/>
    </row>
    <row r="132" customFormat="false" ht="15" hidden="false" customHeight="false" outlineLevel="0" collapsed="false">
      <c r="A132" s="5" t="s">
        <v>149</v>
      </c>
      <c r="B132" s="7" t="n">
        <v>27</v>
      </c>
      <c r="C132" s="7" t="n">
        <v>0</v>
      </c>
      <c r="D132" s="17" t="n">
        <f aca="false">C132/B132</f>
        <v>0</v>
      </c>
      <c r="E132" s="17" t="n">
        <f aca="false">IF(B132&gt;=$H$2,D132,"")</f>
        <v>0</v>
      </c>
      <c r="F132" s="2"/>
      <c r="G132" s="2"/>
      <c r="H132" s="2"/>
    </row>
    <row r="133" customFormat="false" ht="15" hidden="false" customHeight="false" outlineLevel="0" collapsed="false">
      <c r="A133" s="5" t="s">
        <v>150</v>
      </c>
      <c r="B133" s="7" t="n">
        <v>15</v>
      </c>
      <c r="C133" s="7" t="n">
        <v>0</v>
      </c>
      <c r="D133" s="17" t="n">
        <f aca="false">C133/B133</f>
        <v>0</v>
      </c>
      <c r="E133" s="17" t="str">
        <f aca="false">IF(B133&gt;=$H$2,D133,"")</f>
        <v/>
      </c>
      <c r="F133" s="2"/>
      <c r="G133" s="2"/>
      <c r="H133" s="2"/>
    </row>
    <row r="134" customFormat="false" ht="15" hidden="false" customHeight="false" outlineLevel="0" collapsed="false">
      <c r="A134" s="5" t="s">
        <v>151</v>
      </c>
      <c r="B134" s="7" t="n">
        <v>29</v>
      </c>
      <c r="C134" s="7" t="n">
        <v>0</v>
      </c>
      <c r="D134" s="17" t="n">
        <f aca="false">C134/B134</f>
        <v>0</v>
      </c>
      <c r="E134" s="17" t="n">
        <f aca="false">IF(B134&gt;=$H$2,D134,"")</f>
        <v>0</v>
      </c>
      <c r="F134" s="2"/>
      <c r="G134" s="2"/>
      <c r="H134" s="2"/>
    </row>
    <row r="135" customFormat="false" ht="15" hidden="false" customHeight="false" outlineLevel="0" collapsed="false">
      <c r="A135" s="5" t="s">
        <v>152</v>
      </c>
      <c r="B135" s="7" t="n">
        <v>302</v>
      </c>
      <c r="C135" s="7" t="n">
        <v>0</v>
      </c>
      <c r="D135" s="17" t="n">
        <f aca="false">C135/B135</f>
        <v>0</v>
      </c>
      <c r="E135" s="17" t="n">
        <f aca="false">IF(B135&gt;=$H$2,D135,"")</f>
        <v>0</v>
      </c>
      <c r="F135" s="2"/>
      <c r="G135" s="2"/>
      <c r="H135" s="2"/>
    </row>
    <row r="136" customFormat="false" ht="15" hidden="false" customHeight="false" outlineLevel="0" collapsed="false">
      <c r="A136" s="5" t="s">
        <v>153</v>
      </c>
      <c r="B136" s="7" t="n">
        <v>115</v>
      </c>
      <c r="C136" s="7" t="n">
        <v>0</v>
      </c>
      <c r="D136" s="17" t="n">
        <f aca="false">C136/B136</f>
        <v>0</v>
      </c>
      <c r="E136" s="17" t="n">
        <f aca="false">IF(B136&gt;=$H$2,D136,"")</f>
        <v>0</v>
      </c>
      <c r="F136" s="2"/>
      <c r="G136" s="2"/>
      <c r="H136" s="2"/>
    </row>
    <row r="137" customFormat="false" ht="15" hidden="false" customHeight="false" outlineLevel="0" collapsed="false">
      <c r="A137" s="5" t="s">
        <v>154</v>
      </c>
      <c r="B137" s="7" t="n">
        <v>19</v>
      </c>
      <c r="C137" s="7" t="n">
        <v>0</v>
      </c>
      <c r="D137" s="17" t="n">
        <f aca="false">C137/B137</f>
        <v>0</v>
      </c>
      <c r="E137" s="17" t="str">
        <f aca="false">IF(B137&gt;=$H$2,D137,"")</f>
        <v/>
      </c>
      <c r="F137" s="2"/>
      <c r="G137" s="2"/>
      <c r="H137" s="2"/>
    </row>
    <row r="138" customFormat="false" ht="15" hidden="false" customHeight="false" outlineLevel="0" collapsed="false">
      <c r="A138" s="5" t="s">
        <v>155</v>
      </c>
      <c r="B138" s="7" t="n">
        <v>16</v>
      </c>
      <c r="C138" s="7" t="n">
        <v>0</v>
      </c>
      <c r="D138" s="17" t="n">
        <f aca="false">C138/B138</f>
        <v>0</v>
      </c>
      <c r="E138" s="17" t="str">
        <f aca="false">IF(B138&gt;=$H$2,D138,"")</f>
        <v/>
      </c>
      <c r="F138" s="2"/>
      <c r="G138" s="2"/>
      <c r="H138" s="2"/>
    </row>
    <row r="139" customFormat="false" ht="15" hidden="false" customHeight="false" outlineLevel="0" collapsed="false">
      <c r="A139" s="5" t="s">
        <v>156</v>
      </c>
      <c r="B139" s="7" t="n">
        <v>34</v>
      </c>
      <c r="C139" s="7" t="n">
        <v>0</v>
      </c>
      <c r="D139" s="17" t="n">
        <f aca="false">C139/B139</f>
        <v>0</v>
      </c>
      <c r="E139" s="17" t="n">
        <f aca="false">IF(B139&gt;=$H$2,D139,"")</f>
        <v>0</v>
      </c>
      <c r="F139" s="2"/>
      <c r="G139" s="2"/>
      <c r="H139" s="2"/>
    </row>
    <row r="140" customFormat="false" ht="15" hidden="false" customHeight="false" outlineLevel="0" collapsed="false">
      <c r="A140" s="5" t="s">
        <v>157</v>
      </c>
      <c r="B140" s="7" t="n">
        <v>1051</v>
      </c>
      <c r="C140" s="7" t="n">
        <v>0</v>
      </c>
      <c r="D140" s="17" t="n">
        <f aca="false">C140/B140</f>
        <v>0</v>
      </c>
      <c r="E140" s="17" t="n">
        <f aca="false">IF(B140&gt;=$H$2,D140,"")</f>
        <v>0</v>
      </c>
      <c r="F140" s="2"/>
      <c r="G140" s="2"/>
      <c r="H140" s="2"/>
    </row>
    <row r="141" customFormat="false" ht="15" hidden="false" customHeight="false" outlineLevel="0" collapsed="false">
      <c r="A141" s="5" t="s">
        <v>158</v>
      </c>
      <c r="B141" s="7" t="n">
        <v>17</v>
      </c>
      <c r="C141" s="7" t="n">
        <v>0</v>
      </c>
      <c r="D141" s="17" t="n">
        <f aca="false">C141/B141</f>
        <v>0</v>
      </c>
      <c r="E141" s="17" t="str">
        <f aca="false">IF(B141&gt;=$H$2,D141,"")</f>
        <v/>
      </c>
      <c r="F141" s="2"/>
      <c r="G141" s="2"/>
      <c r="H141" s="2"/>
    </row>
    <row r="142" customFormat="false" ht="15" hidden="false" customHeight="false" outlineLevel="0" collapsed="false">
      <c r="A142" s="5" t="s">
        <v>159</v>
      </c>
      <c r="B142" s="7" t="n">
        <v>91</v>
      </c>
      <c r="C142" s="7" t="n">
        <v>0</v>
      </c>
      <c r="D142" s="17" t="n">
        <f aca="false">C142/B142</f>
        <v>0</v>
      </c>
      <c r="E142" s="17" t="n">
        <f aca="false">IF(B142&gt;=$H$2,D142,"")</f>
        <v>0</v>
      </c>
      <c r="F142" s="2"/>
      <c r="G142" s="2"/>
      <c r="H142" s="2"/>
    </row>
    <row r="143" customFormat="false" ht="15" hidden="false" customHeight="false" outlineLevel="0" collapsed="false">
      <c r="A143" s="5" t="s">
        <v>160</v>
      </c>
      <c r="B143" s="7" t="n">
        <v>4</v>
      </c>
      <c r="C143" s="7" t="n">
        <v>0</v>
      </c>
      <c r="D143" s="17" t="n">
        <f aca="false">C143/B143</f>
        <v>0</v>
      </c>
      <c r="E143" s="17" t="str">
        <f aca="false">IF(B143&gt;=$H$2,D143,"")</f>
        <v/>
      </c>
      <c r="F143" s="2"/>
      <c r="G143" s="2"/>
      <c r="H143" s="2"/>
    </row>
    <row r="144" customFormat="false" ht="15" hidden="false" customHeight="false" outlineLevel="0" collapsed="false">
      <c r="A144" s="5" t="s">
        <v>161</v>
      </c>
      <c r="B144" s="7" t="n">
        <v>249</v>
      </c>
      <c r="C144" s="7" t="n">
        <v>0</v>
      </c>
      <c r="D144" s="17" t="n">
        <f aca="false">C144/B144</f>
        <v>0</v>
      </c>
      <c r="E144" s="17" t="n">
        <f aca="false">IF(B144&gt;=$H$2,D144,"")</f>
        <v>0</v>
      </c>
      <c r="F144" s="2"/>
      <c r="G144" s="2"/>
      <c r="H144" s="2"/>
    </row>
    <row r="145" customFormat="false" ht="15" hidden="false" customHeight="false" outlineLevel="0" collapsed="false">
      <c r="A145" s="5" t="s">
        <v>162</v>
      </c>
      <c r="B145" s="7" t="n">
        <v>90</v>
      </c>
      <c r="C145" s="7" t="n">
        <v>0</v>
      </c>
      <c r="D145" s="17" t="n">
        <f aca="false">C145/B145</f>
        <v>0</v>
      </c>
      <c r="E145" s="17" t="n">
        <f aca="false">IF(B145&gt;=$H$2,D145,"")</f>
        <v>0</v>
      </c>
      <c r="F145" s="2"/>
      <c r="G145" s="2"/>
      <c r="H145" s="2"/>
    </row>
    <row r="146" customFormat="false" ht="15" hidden="false" customHeight="false" outlineLevel="0" collapsed="false">
      <c r="A146" s="5" t="s">
        <v>163</v>
      </c>
      <c r="B146" s="7" t="n">
        <v>272</v>
      </c>
      <c r="C146" s="7" t="n">
        <v>0</v>
      </c>
      <c r="D146" s="17" t="n">
        <f aca="false">C146/B146</f>
        <v>0</v>
      </c>
      <c r="E146" s="17" t="n">
        <f aca="false">IF(B146&gt;=$H$2,D146,"")</f>
        <v>0</v>
      </c>
      <c r="F146" s="2"/>
      <c r="G146" s="2"/>
      <c r="H146" s="2"/>
    </row>
    <row r="147" customFormat="false" ht="15" hidden="false" customHeight="false" outlineLevel="0" collapsed="false">
      <c r="A147" s="5" t="s">
        <v>164</v>
      </c>
      <c r="B147" s="7" t="n">
        <v>71</v>
      </c>
      <c r="C147" s="7" t="n">
        <v>0</v>
      </c>
      <c r="D147" s="17" t="n">
        <f aca="false">C147/B147</f>
        <v>0</v>
      </c>
      <c r="E147" s="17" t="n">
        <f aca="false">IF(B147&gt;=$H$2,D147,"")</f>
        <v>0</v>
      </c>
      <c r="F147" s="2"/>
      <c r="G147" s="2"/>
      <c r="H147" s="2"/>
    </row>
    <row r="148" customFormat="false" ht="15" hidden="false" customHeight="false" outlineLevel="0" collapsed="false">
      <c r="A148" s="5" t="s">
        <v>165</v>
      </c>
      <c r="B148" s="7" t="n">
        <v>20</v>
      </c>
      <c r="C148" s="7" t="n">
        <v>0</v>
      </c>
      <c r="D148" s="17" t="n">
        <f aca="false">C148/B148</f>
        <v>0</v>
      </c>
      <c r="E148" s="17" t="n">
        <f aca="false">IF(B148&gt;=$H$2,D148,"")</f>
        <v>0</v>
      </c>
      <c r="F148" s="2"/>
      <c r="G148" s="2"/>
      <c r="H148" s="2"/>
    </row>
    <row r="149" customFormat="false" ht="15" hidden="false" customHeight="false" outlineLevel="0" collapsed="false">
      <c r="A149" s="5" t="s">
        <v>166</v>
      </c>
      <c r="B149" s="7" t="n">
        <v>54</v>
      </c>
      <c r="C149" s="7" t="n">
        <v>0</v>
      </c>
      <c r="D149" s="17" t="n">
        <f aca="false">C149/B149</f>
        <v>0</v>
      </c>
      <c r="E149" s="17" t="n">
        <f aca="false">IF(B149&gt;=$H$2,D149,"")</f>
        <v>0</v>
      </c>
      <c r="F149" s="2"/>
      <c r="G149" s="2"/>
      <c r="H149" s="2"/>
    </row>
    <row r="150" customFormat="false" ht="15" hidden="false" customHeight="false" outlineLevel="0" collapsed="false">
      <c r="A150" s="5" t="s">
        <v>167</v>
      </c>
      <c r="B150" s="7" t="n">
        <v>34</v>
      </c>
      <c r="C150" s="7" t="n">
        <v>0</v>
      </c>
      <c r="D150" s="17" t="n">
        <f aca="false">C150/B150</f>
        <v>0</v>
      </c>
      <c r="E150" s="17" t="n">
        <f aca="false">IF(B150&gt;=$H$2,D150,"")</f>
        <v>0</v>
      </c>
      <c r="F150" s="2"/>
      <c r="G150" s="2"/>
      <c r="H150" s="2"/>
    </row>
    <row r="151" customFormat="false" ht="15" hidden="false" customHeight="false" outlineLevel="0" collapsed="false">
      <c r="A151" s="5" t="s">
        <v>168</v>
      </c>
      <c r="B151" s="7" t="n">
        <v>28</v>
      </c>
      <c r="C151" s="7" t="n">
        <v>0</v>
      </c>
      <c r="D151" s="17" t="n">
        <f aca="false">C151/B151</f>
        <v>0</v>
      </c>
      <c r="E151" s="17" t="n">
        <f aca="false">IF(B151&gt;=$H$2,D151,"")</f>
        <v>0</v>
      </c>
      <c r="F151" s="2"/>
      <c r="G151" s="2"/>
      <c r="H151" s="2"/>
    </row>
    <row r="152" customFormat="false" ht="15" hidden="false" customHeight="false" outlineLevel="0" collapsed="false">
      <c r="A152" s="5" t="s">
        <v>169</v>
      </c>
      <c r="B152" s="7" t="n">
        <v>3</v>
      </c>
      <c r="C152" s="7" t="n">
        <v>0</v>
      </c>
      <c r="D152" s="17" t="n">
        <f aca="false">C152/B152</f>
        <v>0</v>
      </c>
      <c r="E152" s="17" t="str">
        <f aca="false">IF(B152&gt;=$H$2,D152,"")</f>
        <v/>
      </c>
      <c r="F152" s="2"/>
      <c r="G152" s="2"/>
      <c r="H152" s="2"/>
    </row>
    <row r="153" customFormat="false" ht="15" hidden="false" customHeight="false" outlineLevel="0" collapsed="false">
      <c r="A153" s="5" t="s">
        <v>171</v>
      </c>
      <c r="B153" s="7" t="n">
        <v>95</v>
      </c>
      <c r="C153" s="7" t="n">
        <v>0</v>
      </c>
      <c r="D153" s="17" t="n">
        <f aca="false">C153/B153</f>
        <v>0</v>
      </c>
      <c r="E153" s="17" t="n">
        <f aca="false">IF(B153&gt;=$H$2,D153,"")</f>
        <v>0</v>
      </c>
      <c r="F153" s="2"/>
      <c r="G153" s="2"/>
      <c r="H153" s="2"/>
    </row>
    <row r="154" customFormat="false" ht="15" hidden="false" customHeight="false" outlineLevel="0" collapsed="false">
      <c r="A154" s="5" t="s">
        <v>172</v>
      </c>
      <c r="B154" s="7" t="n">
        <v>92</v>
      </c>
      <c r="C154" s="7" t="n">
        <v>0</v>
      </c>
      <c r="D154" s="17" t="n">
        <f aca="false">C154/B154</f>
        <v>0</v>
      </c>
      <c r="E154" s="17" t="n">
        <f aca="false">IF(B154&gt;=$H$2,D154,"")</f>
        <v>0</v>
      </c>
      <c r="F154" s="2"/>
      <c r="G154" s="2"/>
      <c r="H154" s="2"/>
    </row>
    <row r="155" customFormat="false" ht="15" hidden="false" customHeight="false" outlineLevel="0" collapsed="false">
      <c r="A155" s="5" t="s">
        <v>173</v>
      </c>
      <c r="B155" s="7" t="n">
        <v>6</v>
      </c>
      <c r="C155" s="7" t="n">
        <v>0</v>
      </c>
      <c r="D155" s="17" t="n">
        <f aca="false">C155/B155</f>
        <v>0</v>
      </c>
      <c r="E155" s="17" t="str">
        <f aca="false">IF(B155&gt;=$H$2,D155,"")</f>
        <v/>
      </c>
      <c r="F155" s="2"/>
      <c r="G155" s="2"/>
      <c r="H155" s="2"/>
    </row>
    <row r="156" customFormat="false" ht="15" hidden="false" customHeight="false" outlineLevel="0" collapsed="false">
      <c r="A156" s="5" t="s">
        <v>174</v>
      </c>
      <c r="B156" s="7" t="n">
        <v>278</v>
      </c>
      <c r="C156" s="7" t="n">
        <v>0</v>
      </c>
      <c r="D156" s="17" t="n">
        <f aca="false">C156/B156</f>
        <v>0</v>
      </c>
      <c r="E156" s="17" t="n">
        <f aca="false">IF(B156&gt;=$H$2,D156,"")</f>
        <v>0</v>
      </c>
      <c r="F156" s="2"/>
      <c r="G156" s="2"/>
      <c r="H156" s="2"/>
    </row>
    <row r="157" customFormat="false" ht="15" hidden="false" customHeight="false" outlineLevel="0" collapsed="false">
      <c r="A157" s="5" t="s">
        <v>175</v>
      </c>
      <c r="B157" s="7" t="n">
        <v>84</v>
      </c>
      <c r="C157" s="7" t="n">
        <v>0</v>
      </c>
      <c r="D157" s="17" t="n">
        <f aca="false">C157/B157</f>
        <v>0</v>
      </c>
      <c r="E157" s="17" t="n">
        <f aca="false">IF(B157&gt;=$H$2,D157,"")</f>
        <v>0</v>
      </c>
      <c r="F157" s="2"/>
      <c r="G157" s="2"/>
      <c r="H157" s="2"/>
    </row>
    <row r="158" customFormat="false" ht="15" hidden="false" customHeight="false" outlineLevel="0" collapsed="false">
      <c r="A158" s="5" t="s">
        <v>176</v>
      </c>
      <c r="B158" s="7" t="n">
        <v>44</v>
      </c>
      <c r="C158" s="7" t="n">
        <v>0</v>
      </c>
      <c r="D158" s="17" t="n">
        <f aca="false">C158/B158</f>
        <v>0</v>
      </c>
      <c r="E158" s="17" t="n">
        <f aca="false">IF(B158&gt;=$H$2,D158,"")</f>
        <v>0</v>
      </c>
      <c r="F158" s="2"/>
      <c r="G158" s="2"/>
      <c r="H158" s="2"/>
    </row>
    <row r="159" customFormat="false" ht="15" hidden="false" customHeight="false" outlineLevel="0" collapsed="false">
      <c r="A159" s="5" t="s">
        <v>177</v>
      </c>
      <c r="B159" s="7" t="n">
        <v>21</v>
      </c>
      <c r="C159" s="7" t="n">
        <v>0</v>
      </c>
      <c r="D159" s="17" t="n">
        <f aca="false">C159/B159</f>
        <v>0</v>
      </c>
      <c r="E159" s="17" t="n">
        <f aca="false">IF(B159&gt;=$H$2,D159,"")</f>
        <v>0</v>
      </c>
      <c r="F159" s="2"/>
      <c r="G159" s="2"/>
      <c r="H159" s="2"/>
    </row>
    <row r="160" customFormat="false" ht="15" hidden="false" customHeight="false" outlineLevel="0" collapsed="false">
      <c r="A160" s="5" t="s">
        <v>178</v>
      </c>
      <c r="B160" s="7" t="n">
        <v>93</v>
      </c>
      <c r="C160" s="7" t="n">
        <v>0</v>
      </c>
      <c r="D160" s="17" t="n">
        <f aca="false">C160/B160</f>
        <v>0</v>
      </c>
      <c r="E160" s="17" t="n">
        <f aca="false">IF(B160&gt;=$H$2,D160,"")</f>
        <v>0</v>
      </c>
      <c r="F160" s="2"/>
      <c r="G160" s="2"/>
      <c r="H160" s="2"/>
    </row>
    <row r="161" customFormat="false" ht="15" hidden="false" customHeight="false" outlineLevel="0" collapsed="false">
      <c r="A161" s="5" t="s">
        <v>179</v>
      </c>
      <c r="B161" s="7" t="n">
        <v>228</v>
      </c>
      <c r="C161" s="7" t="n">
        <v>0</v>
      </c>
      <c r="D161" s="17" t="n">
        <f aca="false">C161/B161</f>
        <v>0</v>
      </c>
      <c r="E161" s="17" t="n">
        <f aca="false">IF(B161&gt;=$H$2,D161,"")</f>
        <v>0</v>
      </c>
      <c r="F161" s="2"/>
      <c r="G161" s="2"/>
      <c r="H161" s="2"/>
    </row>
    <row r="162" customFormat="false" ht="15" hidden="false" customHeight="false" outlineLevel="0" collapsed="false">
      <c r="A162" s="5" t="s">
        <v>180</v>
      </c>
      <c r="B162" s="7" t="n">
        <v>315</v>
      </c>
      <c r="C162" s="7" t="n">
        <v>0</v>
      </c>
      <c r="D162" s="17" t="n">
        <f aca="false">C162/B162</f>
        <v>0</v>
      </c>
      <c r="E162" s="17" t="n">
        <f aca="false">IF(B162&gt;=$H$2,D162,"")</f>
        <v>0</v>
      </c>
      <c r="F162" s="2"/>
      <c r="G162" s="2"/>
      <c r="H162" s="2"/>
    </row>
    <row r="163" customFormat="false" ht="15" hidden="false" customHeight="false" outlineLevel="0" collapsed="false">
      <c r="A163" s="5" t="s">
        <v>181</v>
      </c>
      <c r="B163" s="7" t="n">
        <v>7</v>
      </c>
      <c r="C163" s="7" t="n">
        <v>0</v>
      </c>
      <c r="D163" s="17" t="n">
        <f aca="false">C163/B163</f>
        <v>0</v>
      </c>
      <c r="E163" s="17" t="str">
        <f aca="false">IF(B163&gt;=$H$2,D163,"")</f>
        <v/>
      </c>
      <c r="F163" s="2"/>
      <c r="G163" s="2"/>
      <c r="H163" s="2"/>
    </row>
    <row r="164" customFormat="false" ht="15" hidden="false" customHeight="false" outlineLevel="0" collapsed="false">
      <c r="A164" s="5" t="s">
        <v>183</v>
      </c>
      <c r="B164" s="7" t="n">
        <v>463</v>
      </c>
      <c r="C164" s="7" t="n">
        <v>0</v>
      </c>
      <c r="D164" s="17" t="n">
        <f aca="false">C164/B164</f>
        <v>0</v>
      </c>
      <c r="E164" s="17" t="n">
        <f aca="false">IF(B164&gt;=$H$2,D164,"")</f>
        <v>0</v>
      </c>
      <c r="F164" s="2"/>
      <c r="G164" s="2"/>
      <c r="H164" s="2"/>
    </row>
    <row r="165" customFormat="false" ht="15" hidden="false" customHeight="false" outlineLevel="0" collapsed="false">
      <c r="A165" s="5" t="s">
        <v>184</v>
      </c>
      <c r="B165" s="7" t="n">
        <v>3</v>
      </c>
      <c r="C165" s="7" t="n">
        <v>0</v>
      </c>
      <c r="D165" s="17" t="n">
        <f aca="false">C165/B165</f>
        <v>0</v>
      </c>
      <c r="E165" s="17" t="str">
        <f aca="false">IF(B165&gt;=$H$2,D165,"")</f>
        <v/>
      </c>
      <c r="F165" s="2"/>
      <c r="G165" s="2"/>
      <c r="H165" s="2"/>
    </row>
    <row r="166" customFormat="false" ht="15" hidden="false" customHeight="false" outlineLevel="0" collapsed="false">
      <c r="A166" s="5" t="s">
        <v>185</v>
      </c>
      <c r="B166" s="7" t="n">
        <v>20</v>
      </c>
      <c r="C166" s="7" t="n">
        <v>0</v>
      </c>
      <c r="D166" s="17" t="n">
        <f aca="false">C166/B166</f>
        <v>0</v>
      </c>
      <c r="E166" s="17" t="n">
        <f aca="false">IF(B166&gt;=$H$2,D166,"")</f>
        <v>0</v>
      </c>
      <c r="F166" s="2"/>
      <c r="G166" s="2"/>
      <c r="H166" s="2"/>
    </row>
    <row r="167" customFormat="false" ht="15" hidden="false" customHeight="false" outlineLevel="0" collapsed="false">
      <c r="A167" s="5" t="s">
        <v>186</v>
      </c>
      <c r="B167" s="7" t="n">
        <v>158</v>
      </c>
      <c r="C167" s="7" t="n">
        <v>0</v>
      </c>
      <c r="D167" s="17" t="n">
        <f aca="false">C167/B167</f>
        <v>0</v>
      </c>
      <c r="E167" s="17" t="n">
        <f aca="false">IF(B167&gt;=$H$2,D167,"")</f>
        <v>0</v>
      </c>
      <c r="F167" s="2"/>
      <c r="G167" s="2"/>
      <c r="H167" s="2"/>
    </row>
    <row r="168" customFormat="false" ht="15" hidden="false" customHeight="false" outlineLevel="0" collapsed="false">
      <c r="A168" s="5" t="s">
        <v>187</v>
      </c>
      <c r="B168" s="7" t="n">
        <v>293</v>
      </c>
      <c r="C168" s="7" t="n">
        <v>0</v>
      </c>
      <c r="D168" s="17" t="n">
        <f aca="false">C168/B168</f>
        <v>0</v>
      </c>
      <c r="E168" s="17" t="n">
        <f aca="false">IF(B168&gt;=$H$2,D168,"")</f>
        <v>0</v>
      </c>
      <c r="F168" s="2"/>
      <c r="G168" s="2"/>
      <c r="H168" s="2"/>
    </row>
    <row r="169" customFormat="false" ht="15" hidden="false" customHeight="false" outlineLevel="0" collapsed="false">
      <c r="A169" s="5" t="s">
        <v>188</v>
      </c>
      <c r="B169" s="7" t="n">
        <v>280</v>
      </c>
      <c r="C169" s="7" t="n">
        <v>0</v>
      </c>
      <c r="D169" s="17" t="n">
        <f aca="false">C169/B169</f>
        <v>0</v>
      </c>
      <c r="E169" s="17" t="n">
        <f aca="false">IF(B169&gt;=$H$2,D169,"")</f>
        <v>0</v>
      </c>
      <c r="F169" s="2"/>
      <c r="G169" s="2"/>
      <c r="H169" s="2"/>
    </row>
  </sheetData>
  <mergeCells count="6">
    <mergeCell ref="G12:H12"/>
    <mergeCell ref="G13:H13"/>
    <mergeCell ref="G14:H14"/>
    <mergeCell ref="G15:H15"/>
    <mergeCell ref="G16:H16"/>
    <mergeCell ref="G17:H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1"/>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2"/>
    <col collapsed="false" customWidth="true" hidden="false" outlineLevel="0" max="15" min="15" style="0" width="3"/>
    <col collapsed="false" customWidth="true" hidden="false" outlineLevel="0" max="16" min="16" style="0" width="58"/>
    <col collapsed="false" customWidth="true" hidden="false" outlineLevel="0" max="17" min="17" style="0" width="14"/>
    <col collapsed="false" customWidth="true" hidden="false" outlineLevel="0" max="18" min="18" style="0" width="3"/>
    <col collapsed="false" customWidth="true" hidden="false" outlineLevel="0" max="24" min="19" style="0" width="13"/>
  </cols>
  <sheetData>
    <row r="1" customFormat="false" ht="45" hidden="false" customHeight="true" outlineLevel="0" collapsed="false">
      <c r="A1" s="13" t="s">
        <v>0</v>
      </c>
      <c r="B1" s="13" t="s">
        <v>204</v>
      </c>
      <c r="C1" s="13" t="s">
        <v>205</v>
      </c>
      <c r="D1" s="13" t="s">
        <v>206</v>
      </c>
      <c r="E1" s="13" t="s">
        <v>207</v>
      </c>
      <c r="F1" s="13" t="s">
        <v>208</v>
      </c>
      <c r="G1" s="13" t="s">
        <v>209</v>
      </c>
      <c r="H1" s="13" t="s">
        <v>210</v>
      </c>
      <c r="I1" s="13" t="s">
        <v>211</v>
      </c>
      <c r="J1" s="13" t="s">
        <v>212</v>
      </c>
      <c r="K1" s="13" t="s">
        <v>213</v>
      </c>
      <c r="L1" s="13" t="s">
        <v>214</v>
      </c>
      <c r="M1" s="13" t="s">
        <v>215</v>
      </c>
      <c r="N1" s="13" t="s">
        <v>216</v>
      </c>
      <c r="O1" s="2"/>
      <c r="P1" s="13" t="s">
        <v>217</v>
      </c>
      <c r="Q1" s="13" t="s">
        <v>3</v>
      </c>
      <c r="R1" s="2"/>
      <c r="S1" s="13" t="s">
        <v>218</v>
      </c>
      <c r="T1" s="13" t="s">
        <v>219</v>
      </c>
      <c r="U1" s="13" t="s">
        <v>220</v>
      </c>
      <c r="V1" s="13" t="s">
        <v>221</v>
      </c>
      <c r="W1" s="13" t="s">
        <v>222</v>
      </c>
      <c r="X1" s="13" t="s">
        <v>223</v>
      </c>
    </row>
    <row r="2" customFormat="false" ht="15" hidden="false" customHeight="false" outlineLevel="0" collapsed="false">
      <c r="A2" s="4" t="str">
        <f aca="false">'Taxa de occisão'!A2</f>
        <v>CIRAE – Proença-a-Nova (11 municípios)</v>
      </c>
      <c r="B2" s="18" t="n">
        <f aca="false">'Taxa de occisão'!B2</f>
        <v>260</v>
      </c>
      <c r="C2" s="18" t="n">
        <f aca="false">'Taxa de occisão'!C2</f>
        <v>79</v>
      </c>
      <c r="D2" s="19" t="n">
        <f aca="false">C2/B2</f>
        <v>0.303846153846154</v>
      </c>
      <c r="E2" s="20" t="n">
        <f aca="false">IF(B2&gt;=$Q$2,1,0)</f>
        <v>1</v>
      </c>
      <c r="F2" s="21" t="n">
        <f aca="false">IF(E2=1,(D2-$Q$4)/SQRT($Q$4*(1-$Q$4)/B2),"")</f>
        <v>20.1123899434244</v>
      </c>
      <c r="G2" s="21" t="n">
        <f aca="false">IF(F2="","",MAX(MIN(F2,$Q$6),$Q$5))</f>
        <v>4.51449655176845</v>
      </c>
      <c r="H2" s="21" t="n">
        <f aca="false">IF(F2="","",F2/SQRT($Q$7))</f>
        <v>7.96604801444325</v>
      </c>
      <c r="I2" s="20" t="n">
        <f aca="false">IF(E2=1,B2/($Q$4*(1-$Q$4)),"")</f>
        <v>6040.71478511098</v>
      </c>
      <c r="J2" s="20" t="n">
        <f aca="false">IF(E2=1,I2*(D2-$Q$4)^2,"")</f>
        <v>404.508229236358</v>
      </c>
      <c r="K2" s="20" t="n">
        <f aca="false">IF(E2=1,I2^2,"")</f>
        <v>36490235.1150584</v>
      </c>
      <c r="L2" s="21" t="n">
        <f aca="false">IF(E2=1,(D2-$Q$4)/SQRT($Q$4*(1-$Q$4)/B2+$Q$11),"")</f>
        <v>4.82405711894794</v>
      </c>
      <c r="M2" s="22" t="n">
        <f aca="false">IF(H2="","",NORMSDIST(-H2))</f>
        <v>8.19146542249048E-016</v>
      </c>
      <c r="N2" s="20" t="str">
        <f aca="false">IF(H2="","",IF(H2&gt;$Q$14,"Sim","Não"))</f>
        <v>Sim</v>
      </c>
      <c r="O2" s="2"/>
      <c r="P2" s="15" t="s">
        <v>224</v>
      </c>
      <c r="Q2" s="23" t="n">
        <f aca="false">'Taxa de occisão'!H2</f>
        <v>20</v>
      </c>
      <c r="R2" s="2"/>
      <c r="S2" s="5" t="n">
        <v>20</v>
      </c>
      <c r="T2" s="17" t="n">
        <f aca="false">$Q$4</f>
        <v>0.0450728234438846</v>
      </c>
      <c r="U2" s="17" t="n">
        <f aca="false">$Q$4+$Q$13*SQRT($Q$7*$Q$4*(1-$Q$4)/S2)</f>
        <v>0.274632902728168</v>
      </c>
      <c r="V2" s="17" t="n">
        <f aca="false">$Q$4+$Q$14*SQRT($Q$7*$Q$4*(1-$Q$4)/S2)</f>
        <v>0.4070151361225</v>
      </c>
      <c r="W2" s="17" t="n">
        <f aca="false">MAX(0,$Q$4-$Q$13*SQRT($Q$7*$Q$4*(1-$Q$4)/S2))</f>
        <v>0</v>
      </c>
      <c r="X2" s="17" t="n">
        <f aca="false">MAX(0,$Q$4-$Q$14*SQRT($Q$7*$Q$4*(1-$Q$4)/S2))</f>
        <v>0</v>
      </c>
    </row>
    <row r="3" customFormat="false" ht="15" hidden="false" customHeight="false" outlineLevel="0" collapsed="false">
      <c r="A3" s="24" t="str">
        <f aca="false">'Taxa de occisão'!A3</f>
        <v>Caminha</v>
      </c>
      <c r="B3" s="24" t="n">
        <f aca="false">'Taxa de occisão'!B3</f>
        <v>2</v>
      </c>
      <c r="C3" s="24" t="n">
        <f aca="false">'Taxa de occisão'!C3</f>
        <v>1</v>
      </c>
      <c r="D3" s="17" t="n">
        <f aca="false">C3/B3</f>
        <v>0.5</v>
      </c>
      <c r="E3" s="5" t="n">
        <f aca="false">IF(B3&gt;=$Q$2,1,0)</f>
        <v>0</v>
      </c>
      <c r="F3" s="25" t="str">
        <f aca="false">IF(E3=1,(D3-$Q$4)/SQRT($Q$4*(1-$Q$4)/B3),"")</f>
        <v/>
      </c>
      <c r="G3" s="25" t="str">
        <f aca="false">IF(F3="","",MAX(MIN(F3,$Q$6),$Q$5))</f>
        <v/>
      </c>
      <c r="H3" s="25" t="str">
        <f aca="false">IF(F3="","",F3/SQRT($Q$7))</f>
        <v/>
      </c>
      <c r="I3" s="5" t="str">
        <f aca="false">IF(E3=1,B3/($Q$4*(1-$Q$4)),"")</f>
        <v/>
      </c>
      <c r="J3" s="5" t="str">
        <f aca="false">IF(E3=1,I3*(D3-$Q$4)^2,"")</f>
        <v/>
      </c>
      <c r="K3" s="5" t="str">
        <f aca="false">IF(E3=1,I3^2,"")</f>
        <v/>
      </c>
      <c r="L3" s="25" t="str">
        <f aca="false">IF(E3=1,(D3-$Q$4)/SQRT($Q$4*(1-$Q$4)/B3+$Q$11),"")</f>
        <v/>
      </c>
      <c r="M3" s="26" t="str">
        <f aca="false">IF(H3="","",NORMSDIST(-H3))</f>
        <v/>
      </c>
      <c r="N3" s="5" t="str">
        <f aca="false">IF(H3="","",IF(H3&gt;$Q$14,"Sim","Não"))</f>
        <v/>
      </c>
      <c r="O3" s="2"/>
      <c r="P3" s="15" t="s">
        <v>225</v>
      </c>
      <c r="Q3" s="23" t="n">
        <f aca="false">SUM(E2:E169)</f>
        <v>150</v>
      </c>
      <c r="R3" s="2"/>
      <c r="S3" s="5" t="n">
        <v>25</v>
      </c>
      <c r="T3" s="17" t="n">
        <f aca="false">$Q$4</f>
        <v>0.0450728234438846</v>
      </c>
      <c r="U3" s="17" t="n">
        <f aca="false">$Q$4+$Q$13*SQRT($Q$7*$Q$4*(1-$Q$4)/S3)</f>
        <v>0.250397600323844</v>
      </c>
      <c r="V3" s="17" t="n">
        <f aca="false">$Q$4+$Q$14*SQRT($Q$7*$Q$4*(1-$Q$4)/S3)</f>
        <v>0.368803869477031</v>
      </c>
      <c r="W3" s="17" t="n">
        <f aca="false">MAX(0,$Q$4-$Q$13*SQRT($Q$7*$Q$4*(1-$Q$4)/S3))</f>
        <v>0</v>
      </c>
      <c r="X3" s="17" t="n">
        <f aca="false">MAX(0,$Q$4-$Q$14*SQRT($Q$7*$Q$4*(1-$Q$4)/S3))</f>
        <v>0</v>
      </c>
    </row>
    <row r="4" customFormat="false" ht="15" hidden="false" customHeight="false" outlineLevel="0" collapsed="false">
      <c r="A4" s="24" t="str">
        <f aca="false">'Taxa de occisão'!A4</f>
        <v>Penalva do Castelo</v>
      </c>
      <c r="B4" s="24" t="n">
        <f aca="false">'Taxa de occisão'!B4</f>
        <v>75</v>
      </c>
      <c r="C4" s="24" t="n">
        <f aca="false">'Taxa de occisão'!C4</f>
        <v>30</v>
      </c>
      <c r="D4" s="17" t="n">
        <f aca="false">C4/B4</f>
        <v>0.4</v>
      </c>
      <c r="E4" s="5" t="n">
        <f aca="false">IF(B4&gt;=$Q$2,1,0)</f>
        <v>1</v>
      </c>
      <c r="F4" s="25" t="n">
        <f aca="false">IF(E4=1,(D4-$Q$4)/SQRT($Q$4*(1-$Q$4)/B4),"")</f>
        <v>14.8158774612413</v>
      </c>
      <c r="G4" s="25" t="n">
        <f aca="false">IF(F4="","",MAX(MIN(F4,$Q$6),$Q$5))</f>
        <v>4.51449655176845</v>
      </c>
      <c r="H4" s="25" t="n">
        <f aca="false">IF(F4="","",F4/SQRT($Q$7))</f>
        <v>5.86822309851558</v>
      </c>
      <c r="I4" s="5" t="n">
        <f aca="false">IF(E4=1,B4/($Q$4*(1-$Q$4)),"")</f>
        <v>1742.51388032047</v>
      </c>
      <c r="J4" s="5" t="n">
        <f aca="false">IF(E4=1,I4*(D4-$Q$4)^2,"")</f>
        <v>219.510224946517</v>
      </c>
      <c r="K4" s="5" t="n">
        <f aca="false">IF(E4=1,I4^2,"")</f>
        <v>3036354.62310952</v>
      </c>
      <c r="L4" s="25" t="n">
        <f aca="false">IF(E4=1,(D4-$Q$4)/SQRT($Q$4*(1-$Q$4)/B4+$Q$11),"")</f>
        <v>6.19179478249889</v>
      </c>
      <c r="M4" s="26" t="n">
        <f aca="false">IF(H4="","",NORMSDIST(-H4))</f>
        <v>2.20245143794298E-009</v>
      </c>
      <c r="N4" s="5" t="str">
        <f aca="false">IF(H4="","",IF(H4&gt;$Q$14,"Sim","Não"))</f>
        <v>Sim</v>
      </c>
      <c r="O4" s="2"/>
      <c r="P4" s="15" t="s">
        <v>226</v>
      </c>
      <c r="Q4" s="27" t="n">
        <f aca="false">SUMIFS(C2:C169,E2:E169,1)/SUMIFS(B2:B169,E2:E169,1)</f>
        <v>0.0450728234438846</v>
      </c>
      <c r="R4" s="2"/>
      <c r="S4" s="5" t="n">
        <v>30</v>
      </c>
      <c r="T4" s="17" t="n">
        <f aca="false">$Q$4</f>
        <v>0.0450728234438846</v>
      </c>
      <c r="U4" s="17" t="n">
        <f aca="false">$Q$4+$Q$13*SQRT($Q$7*$Q$4*(1-$Q$4)/S4)</f>
        <v>0.232507843297</v>
      </c>
      <c r="V4" s="17" t="n">
        <f aca="false">$Q$4+$Q$14*SQRT($Q$7*$Q$4*(1-$Q$4)/S4)</f>
        <v>0.340597484239048</v>
      </c>
      <c r="W4" s="17" t="n">
        <f aca="false">MAX(0,$Q$4-$Q$13*SQRT($Q$7*$Q$4*(1-$Q$4)/S4))</f>
        <v>0</v>
      </c>
      <c r="X4" s="17" t="n">
        <f aca="false">MAX(0,$Q$4-$Q$14*SQRT($Q$7*$Q$4*(1-$Q$4)/S4))</f>
        <v>0</v>
      </c>
    </row>
    <row r="5" customFormat="false" ht="15" hidden="false" customHeight="false" outlineLevel="0" collapsed="false">
      <c r="A5" s="24" t="str">
        <f aca="false">'Taxa de occisão'!A5</f>
        <v>Marinha Grande</v>
      </c>
      <c r="B5" s="24" t="n">
        <f aca="false">'Taxa de occisão'!B5</f>
        <v>54</v>
      </c>
      <c r="C5" s="24" t="n">
        <f aca="false">'Taxa de occisão'!C5</f>
        <v>19</v>
      </c>
      <c r="D5" s="17" t="n">
        <f aca="false">C5/B5</f>
        <v>0.351851851851852</v>
      </c>
      <c r="E5" s="5" t="n">
        <f aca="false">IF(B5&gt;=$Q$2,1,0)</f>
        <v>1</v>
      </c>
      <c r="F5" s="25" t="n">
        <f aca="false">IF(E5=1,(D5-$Q$4)/SQRT($Q$4*(1-$Q$4)/B5),"")</f>
        <v>10.8662586663594</v>
      </c>
      <c r="G5" s="25" t="n">
        <f aca="false">IF(F5="","",MAX(MIN(F5,$Q$6),$Q$5))</f>
        <v>4.51449655176845</v>
      </c>
      <c r="H5" s="25" t="n">
        <f aca="false">IF(F5="","",F5/SQRT($Q$7))</f>
        <v>4.30387132096548</v>
      </c>
      <c r="I5" s="5" t="n">
        <f aca="false">IF(E5=1,B5/($Q$4*(1-$Q$4)),"")</f>
        <v>1254.60999383074</v>
      </c>
      <c r="J5" s="5" t="n">
        <f aca="false">IF(E5=1,I5*(D5-$Q$4)^2,"")</f>
        <v>118.07557740423</v>
      </c>
      <c r="K5" s="5" t="n">
        <f aca="false">IF(E5=1,I5^2,"")</f>
        <v>1574046.23661997</v>
      </c>
      <c r="L5" s="25" t="n">
        <f aca="false">IF(E5=1,(D5-$Q$4)/SQRT($Q$4*(1-$Q$4)/B5+$Q$11),"")</f>
        <v>5.17885092343808</v>
      </c>
      <c r="M5" s="26" t="n">
        <f aca="false">IF(H5="","",NORMSDIST(-H5))</f>
        <v>8.39195855597898E-006</v>
      </c>
      <c r="N5" s="5" t="str">
        <f aca="false">IF(H5="","",IF(H5&gt;$Q$14,"Sim","Não"))</f>
        <v>Sim</v>
      </c>
      <c r="O5" s="2"/>
      <c r="P5" s="15" t="s">
        <v>227</v>
      </c>
      <c r="Q5" s="25" t="n">
        <f aca="false">PERCENTILE(F2:F169,0.1)</f>
        <v>-3.58701204260275</v>
      </c>
      <c r="R5" s="2"/>
      <c r="S5" s="5" t="n">
        <v>40</v>
      </c>
      <c r="T5" s="17" t="n">
        <f aca="false">$Q$4</f>
        <v>0.0450728234438846</v>
      </c>
      <c r="U5" s="17" t="n">
        <f aca="false">$Q$4+$Q$13*SQRT($Q$7*$Q$4*(1-$Q$4)/S5)</f>
        <v>0.207396312195523</v>
      </c>
      <c r="V5" s="17" t="n">
        <f aca="false">$Q$4+$Q$14*SQRT($Q$7*$Q$4*(1-$Q$4)/S5)</f>
        <v>0.301004687137275</v>
      </c>
      <c r="W5" s="17" t="n">
        <f aca="false">MAX(0,$Q$4-$Q$13*SQRT($Q$7*$Q$4*(1-$Q$4)/S5))</f>
        <v>0</v>
      </c>
      <c r="X5" s="17" t="n">
        <f aca="false">MAX(0,$Q$4-$Q$14*SQRT($Q$7*$Q$4*(1-$Q$4)/S5))</f>
        <v>0</v>
      </c>
    </row>
    <row r="6" customFormat="false" ht="15" hidden="false" customHeight="false" outlineLevel="0" collapsed="false">
      <c r="A6" s="24" t="str">
        <f aca="false">'Taxa de occisão'!A6</f>
        <v>Monção</v>
      </c>
      <c r="B6" s="24" t="n">
        <f aca="false">'Taxa de occisão'!B6</f>
        <v>10</v>
      </c>
      <c r="C6" s="24" t="n">
        <f aca="false">'Taxa de occisão'!C6</f>
        <v>3</v>
      </c>
      <c r="D6" s="17" t="n">
        <f aca="false">C6/B6</f>
        <v>0.3</v>
      </c>
      <c r="E6" s="5" t="n">
        <f aca="false">IF(B6&gt;=$Q$2,1,0)</f>
        <v>0</v>
      </c>
      <c r="F6" s="25" t="str">
        <f aca="false">IF(E6=1,(D6-$Q$4)/SQRT($Q$4*(1-$Q$4)/B6),"")</f>
        <v/>
      </c>
      <c r="G6" s="25" t="str">
        <f aca="false">IF(F6="","",MAX(MIN(F6,$Q$6),$Q$5))</f>
        <v/>
      </c>
      <c r="H6" s="25" t="str">
        <f aca="false">IF(F6="","",F6/SQRT($Q$7))</f>
        <v/>
      </c>
      <c r="I6" s="5" t="str">
        <f aca="false">IF(E6=1,B6/($Q$4*(1-$Q$4)),"")</f>
        <v/>
      </c>
      <c r="J6" s="5" t="str">
        <f aca="false">IF(E6=1,I6*(D6-$Q$4)^2,"")</f>
        <v/>
      </c>
      <c r="K6" s="5" t="str">
        <f aca="false">IF(E6=1,I6^2,"")</f>
        <v/>
      </c>
      <c r="L6" s="25" t="str">
        <f aca="false">IF(E6=1,(D6-$Q$4)/SQRT($Q$4*(1-$Q$4)/B6+$Q$11),"")</f>
        <v/>
      </c>
      <c r="M6" s="26" t="str">
        <f aca="false">IF(H6="","",NORMSDIST(-H6))</f>
        <v/>
      </c>
      <c r="N6" s="5" t="str">
        <f aca="false">IF(H6="","",IF(H6&gt;$Q$14,"Sim","Não"))</f>
        <v/>
      </c>
      <c r="O6" s="2"/>
      <c r="P6" s="15" t="s">
        <v>228</v>
      </c>
      <c r="Q6" s="25" t="n">
        <f aca="false">PERCENTILE(F2:F169,0.9)</f>
        <v>4.51449655176845</v>
      </c>
      <c r="R6" s="2"/>
      <c r="S6" s="5" t="n">
        <v>50</v>
      </c>
      <c r="T6" s="17" t="n">
        <f aca="false">$Q$4</f>
        <v>0.0450728234438846</v>
      </c>
      <c r="U6" s="17" t="n">
        <f aca="false">$Q$4+$Q$13*SQRT($Q$7*$Q$4*(1-$Q$4)/S6)</f>
        <v>0.190259365521319</v>
      </c>
      <c r="V6" s="17" t="n">
        <f aca="false">$Q$4+$Q$14*SQRT($Q$7*$Q$4*(1-$Q$4)/S6)</f>
        <v>0.273985241374537</v>
      </c>
      <c r="W6" s="17" t="n">
        <f aca="false">MAX(0,$Q$4-$Q$13*SQRT($Q$7*$Q$4*(1-$Q$4)/S6))</f>
        <v>0</v>
      </c>
      <c r="X6" s="17" t="n">
        <f aca="false">MAX(0,$Q$4-$Q$14*SQRT($Q$7*$Q$4*(1-$Q$4)/S6))</f>
        <v>0</v>
      </c>
    </row>
    <row r="7" customFormat="false" ht="15" hidden="false" customHeight="false" outlineLevel="0" collapsed="false">
      <c r="A7" s="24" t="str">
        <f aca="false">'Taxa de occisão'!A7</f>
        <v>Mesão Frio</v>
      </c>
      <c r="B7" s="24" t="n">
        <f aca="false">'Taxa de occisão'!B7</f>
        <v>38</v>
      </c>
      <c r="C7" s="24" t="n">
        <f aca="false">'Taxa de occisão'!C7</f>
        <v>11</v>
      </c>
      <c r="D7" s="17" t="n">
        <f aca="false">C7/B7</f>
        <v>0.289473684210526</v>
      </c>
      <c r="E7" s="5" t="n">
        <f aca="false">IF(B7&gt;=$Q$2,1,0)</f>
        <v>1</v>
      </c>
      <c r="F7" s="25" t="n">
        <f aca="false">IF(E7=1,(D7-$Q$4)/SQRT($Q$4*(1-$Q$4)/B7),"")</f>
        <v>7.26192937410537</v>
      </c>
      <c r="G7" s="25" t="n">
        <f aca="false">IF(F7="","",MAX(MIN(F7,$Q$6),$Q$5))</f>
        <v>4.51449655176845</v>
      </c>
      <c r="H7" s="25" t="n">
        <f aca="false">IF(F7="","",F7/SQRT($Q$7))</f>
        <v>2.8762806525901</v>
      </c>
      <c r="I7" s="5" t="n">
        <f aca="false">IF(E7=1,B7/($Q$4*(1-$Q$4)),"")</f>
        <v>882.873699362374</v>
      </c>
      <c r="J7" s="5" t="n">
        <f aca="false">IF(E7=1,I7*(D7-$Q$4)^2,"")</f>
        <v>52.7356182344943</v>
      </c>
      <c r="K7" s="5" t="n">
        <f aca="false">IF(E7=1,I7^2,"")</f>
        <v>779465.969025803</v>
      </c>
      <c r="L7" s="25" t="n">
        <f aca="false">IF(E7=1,(D7-$Q$4)/SQRT($Q$4*(1-$Q$4)/B7+$Q$11),"")</f>
        <v>3.94163475115974</v>
      </c>
      <c r="M7" s="26" t="n">
        <f aca="false">IF(H7="","",NORMSDIST(-H7))</f>
        <v>0.00201195878855831</v>
      </c>
      <c r="N7" s="5" t="str">
        <f aca="false">IF(H7="","",IF(H7&gt;$Q$14,"Sim","Não"))</f>
        <v>Não</v>
      </c>
      <c r="O7" s="2"/>
      <c r="P7" s="15" t="s">
        <v>229</v>
      </c>
      <c r="Q7" s="25" t="n">
        <f aca="false">SUMSQ(G2:G169)/COUNT(G2:G169)</f>
        <v>6.37443242802884</v>
      </c>
      <c r="R7" s="2"/>
      <c r="S7" s="5" t="n">
        <v>60</v>
      </c>
      <c r="T7" s="17" t="n">
        <f aca="false">$Q$4</f>
        <v>0.0450728234438846</v>
      </c>
      <c r="U7" s="17" t="n">
        <f aca="false">$Q$4+$Q$13*SQRT($Q$7*$Q$4*(1-$Q$4)/S7)</f>
        <v>0.177609397013857</v>
      </c>
      <c r="V7" s="17" t="n">
        <f aca="false">$Q$4+$Q$14*SQRT($Q$7*$Q$4*(1-$Q$4)/S7)</f>
        <v>0.254040315099999</v>
      </c>
      <c r="W7" s="17" t="n">
        <f aca="false">MAX(0,$Q$4-$Q$13*SQRT($Q$7*$Q$4*(1-$Q$4)/S7))</f>
        <v>0</v>
      </c>
      <c r="X7" s="17" t="n">
        <f aca="false">MAX(0,$Q$4-$Q$14*SQRT($Q$7*$Q$4*(1-$Q$4)/S7))</f>
        <v>0</v>
      </c>
    </row>
    <row r="8" customFormat="false" ht="15" hidden="false" customHeight="false" outlineLevel="0" collapsed="false">
      <c r="A8" s="24" t="str">
        <f aca="false">'Taxa de occisão'!A8</f>
        <v>Ílhavo</v>
      </c>
      <c r="B8" s="24" t="n">
        <f aca="false">'Taxa de occisão'!B8</f>
        <v>121</v>
      </c>
      <c r="C8" s="24" t="n">
        <f aca="false">'Taxa de occisão'!C8</f>
        <v>34</v>
      </c>
      <c r="D8" s="17" t="n">
        <f aca="false">C8/B8</f>
        <v>0.28099173553719</v>
      </c>
      <c r="E8" s="5" t="n">
        <f aca="false">IF(B8&gt;=$Q$2,1,0)</f>
        <v>1</v>
      </c>
      <c r="F8" s="25" t="n">
        <f aca="false">IF(E8=1,(D8-$Q$4)/SQRT($Q$4*(1-$Q$4)/B8),"")</f>
        <v>12.5087217923182</v>
      </c>
      <c r="G8" s="25" t="n">
        <f aca="false">IF(F8="","",MAX(MIN(F8,$Q$6),$Q$5))</f>
        <v>4.51449655176845</v>
      </c>
      <c r="H8" s="25" t="n">
        <f aca="false">IF(F8="","",F8/SQRT($Q$7))</f>
        <v>4.95441261218672</v>
      </c>
      <c r="I8" s="5" t="n">
        <f aca="false">IF(E8=1,B8/($Q$4*(1-$Q$4)),"")</f>
        <v>2811.25572691703</v>
      </c>
      <c r="J8" s="5" t="n">
        <f aca="false">IF(E8=1,I8*(D8-$Q$4)^2,"")</f>
        <v>156.468120877615</v>
      </c>
      <c r="K8" s="5" t="n">
        <f aca="false">IF(E8=1,I8^2,"")</f>
        <v>7903158.76212381</v>
      </c>
      <c r="L8" s="25" t="n">
        <f aca="false">IF(E8=1,(D8-$Q$4)/SQRT($Q$4*(1-$Q$4)/B8+$Q$11),"")</f>
        <v>4.25950390762719</v>
      </c>
      <c r="M8" s="26" t="n">
        <f aca="false">IF(H8="","",NORMSDIST(-H8))</f>
        <v>3.62745560279579E-007</v>
      </c>
      <c r="N8" s="5" t="str">
        <f aca="false">IF(H8="","",IF(H8&gt;$Q$14,"Sim","Não"))</f>
        <v>Sim</v>
      </c>
      <c r="O8" s="2"/>
      <c r="P8" s="15" t="s">
        <v>230</v>
      </c>
      <c r="Q8" s="28" t="n">
        <f aca="false">SUM(J2:J169)</f>
        <v>2620.10148766508</v>
      </c>
      <c r="R8" s="2"/>
      <c r="S8" s="5" t="n">
        <v>75</v>
      </c>
      <c r="T8" s="17" t="n">
        <f aca="false">$Q$4</f>
        <v>0.0450728234438846</v>
      </c>
      <c r="U8" s="17" t="n">
        <f aca="false">$Q$4+$Q$13*SQRT($Q$7*$Q$4*(1-$Q$4)/S8)</f>
        <v>0.163617138646829</v>
      </c>
      <c r="V8" s="17" t="n">
        <f aca="false">$Q$4+$Q$14*SQRT($Q$7*$Q$4*(1-$Q$4)/S8)</f>
        <v>0.231979030016161</v>
      </c>
      <c r="W8" s="17" t="n">
        <f aca="false">MAX(0,$Q$4-$Q$13*SQRT($Q$7*$Q$4*(1-$Q$4)/S8))</f>
        <v>0</v>
      </c>
      <c r="X8" s="17" t="n">
        <f aca="false">MAX(0,$Q$4-$Q$14*SQRT($Q$7*$Q$4*(1-$Q$4)/S8))</f>
        <v>0</v>
      </c>
    </row>
    <row r="9" customFormat="false" ht="15" hidden="false" customHeight="false" outlineLevel="0" collapsed="false">
      <c r="A9" s="24" t="str">
        <f aca="false">'Taxa de occisão'!A9</f>
        <v>Sesimbra</v>
      </c>
      <c r="B9" s="24" t="n">
        <f aca="false">'Taxa de occisão'!B9</f>
        <v>234</v>
      </c>
      <c r="C9" s="24" t="n">
        <f aca="false">'Taxa de occisão'!C9</f>
        <v>63</v>
      </c>
      <c r="D9" s="17" t="n">
        <f aca="false">C9/B9</f>
        <v>0.269230769230769</v>
      </c>
      <c r="E9" s="5" t="n">
        <f aca="false">IF(B9&gt;=$Q$2,1,0)</f>
        <v>1</v>
      </c>
      <c r="F9" s="25" t="n">
        <f aca="false">IF(E9=1,(D9-$Q$4)/SQRT($Q$4*(1-$Q$4)/B9),"")</f>
        <v>16.52797160866</v>
      </c>
      <c r="G9" s="25" t="n">
        <f aca="false">IF(F9="","",MAX(MIN(F9,$Q$6),$Q$5))</f>
        <v>4.51449655176845</v>
      </c>
      <c r="H9" s="25" t="n">
        <f aca="false">IF(F9="","",F9/SQRT($Q$7))</f>
        <v>6.54634361139098</v>
      </c>
      <c r="I9" s="5" t="n">
        <f aca="false">IF(E9=1,B9/($Q$4*(1-$Q$4)),"")</f>
        <v>5436.64330659988</v>
      </c>
      <c r="J9" s="5" t="n">
        <f aca="false">IF(E9=1,I9*(D9-$Q$4)^2,"")</f>
        <v>273.17384549667</v>
      </c>
      <c r="K9" s="5" t="n">
        <f aca="false">IF(E9=1,I9^2,"")</f>
        <v>29557090.4431973</v>
      </c>
      <c r="L9" s="25" t="n">
        <f aca="false">IF(E9=1,(D9-$Q$4)/SQRT($Q$4*(1-$Q$4)/B9+$Q$11),"")</f>
        <v>4.16546431578002</v>
      </c>
      <c r="M9" s="26" t="n">
        <f aca="false">IF(H9="","",NORMSDIST(-H9))</f>
        <v>2.94814158553004E-011</v>
      </c>
      <c r="N9" s="5" t="str">
        <f aca="false">IF(H9="","",IF(H9&gt;$Q$14,"Sim","Não"))</f>
        <v>Sim</v>
      </c>
      <c r="O9" s="2"/>
      <c r="P9" s="15" t="s">
        <v>231</v>
      </c>
      <c r="Q9" s="23" t="n">
        <f aca="false">SUM(I2:I169)</f>
        <v>926808.282664854</v>
      </c>
      <c r="R9" s="2"/>
      <c r="S9" s="5" t="n">
        <v>100</v>
      </c>
      <c r="T9" s="17" t="n">
        <f aca="false">$Q$4</f>
        <v>0.0450728234438846</v>
      </c>
      <c r="U9" s="17" t="n">
        <f aca="false">$Q$4+$Q$13*SQRT($Q$7*$Q$4*(1-$Q$4)/S9)</f>
        <v>0.147735211883864</v>
      </c>
      <c r="V9" s="17" t="n">
        <f aca="false">$Q$4+$Q$14*SQRT($Q$7*$Q$4*(1-$Q$4)/S9)</f>
        <v>0.206938346460458</v>
      </c>
      <c r="W9" s="17" t="n">
        <f aca="false">MAX(0,$Q$4-$Q$13*SQRT($Q$7*$Q$4*(1-$Q$4)/S9))</f>
        <v>0</v>
      </c>
      <c r="X9" s="17" t="n">
        <f aca="false">MAX(0,$Q$4-$Q$14*SQRT($Q$7*$Q$4*(1-$Q$4)/S9))</f>
        <v>0</v>
      </c>
    </row>
    <row r="10" customFormat="false" ht="15" hidden="false" customHeight="false" outlineLevel="0" collapsed="false">
      <c r="A10" s="24" t="str">
        <f aca="false">'Taxa de occisão'!A10</f>
        <v>Lajes das Flores</v>
      </c>
      <c r="B10" s="24" t="n">
        <f aca="false">'Taxa de occisão'!B10</f>
        <v>23</v>
      </c>
      <c r="C10" s="24" t="n">
        <f aca="false">'Taxa de occisão'!C10</f>
        <v>6</v>
      </c>
      <c r="D10" s="17" t="n">
        <f aca="false">C10/B10</f>
        <v>0.260869565217391</v>
      </c>
      <c r="E10" s="5" t="n">
        <f aca="false">IF(B10&gt;=$Q$2,1,0)</f>
        <v>1</v>
      </c>
      <c r="F10" s="25" t="n">
        <f aca="false">IF(E10=1,(D10-$Q$4)/SQRT($Q$4*(1-$Q$4)/B10),"")</f>
        <v>4.98845768456887</v>
      </c>
      <c r="G10" s="25" t="n">
        <f aca="false">IF(F10="","",MAX(MIN(F10,$Q$6),$Q$5))</f>
        <v>4.51449655176845</v>
      </c>
      <c r="H10" s="25" t="n">
        <f aca="false">IF(F10="","",F10/SQRT($Q$7))</f>
        <v>1.97581160394547</v>
      </c>
      <c r="I10" s="5" t="n">
        <f aca="false">IF(E10=1,B10/($Q$4*(1-$Q$4)),"")</f>
        <v>534.370923298279</v>
      </c>
      <c r="J10" s="5" t="n">
        <f aca="false">IF(E10=1,I10*(D10-$Q$4)^2,"")</f>
        <v>24.8847100707342</v>
      </c>
      <c r="K10" s="5" t="n">
        <f aca="false">IF(E10=1,I10^2,"")</f>
        <v>285552.283666655</v>
      </c>
      <c r="L10" s="25" t="n">
        <f aca="false">IF(E10=1,(D10-$Q$4)/SQRT($Q$4*(1-$Q$4)/B10+$Q$11),"")</f>
        <v>3.18753788609731</v>
      </c>
      <c r="M10" s="26" t="n">
        <f aca="false">IF(H10="","",NORMSDIST(-H10))</f>
        <v>0.0240880593478017</v>
      </c>
      <c r="N10" s="5" t="str">
        <f aca="false">IF(H10="","",IF(H10&gt;$Q$14,"Sim","Não"))</f>
        <v>Não</v>
      </c>
      <c r="O10" s="2"/>
      <c r="P10" s="15" t="s">
        <v>232</v>
      </c>
      <c r="Q10" s="23" t="n">
        <f aca="false">SUM(K2:K169)</f>
        <v>14474868194.9666</v>
      </c>
      <c r="R10" s="2"/>
      <c r="S10" s="5" t="n">
        <v>125</v>
      </c>
      <c r="T10" s="17" t="n">
        <f aca="false">$Q$4</f>
        <v>0.0450728234438846</v>
      </c>
      <c r="U10" s="17" t="n">
        <f aca="false">$Q$4+$Q$13*SQRT($Q$7*$Q$4*(1-$Q$4)/S10)</f>
        <v>0.136896855157598</v>
      </c>
      <c r="V10" s="17" t="n">
        <f aca="false">$Q$4+$Q$14*SQRT($Q$7*$Q$4*(1-$Q$4)/S10)</f>
        <v>0.189849748515331</v>
      </c>
      <c r="W10" s="17" t="n">
        <f aca="false">MAX(0,$Q$4-$Q$13*SQRT($Q$7*$Q$4*(1-$Q$4)/S10))</f>
        <v>0</v>
      </c>
      <c r="X10" s="17" t="n">
        <f aca="false">MAX(0,$Q$4-$Q$14*SQRT($Q$7*$Q$4*(1-$Q$4)/S10))</f>
        <v>0</v>
      </c>
    </row>
    <row r="11" customFormat="false" ht="15" hidden="false" customHeight="false" outlineLevel="0" collapsed="false">
      <c r="A11" s="24" t="str">
        <f aca="false">'Taxa de occisão'!A11</f>
        <v>Arruda dos Vinhos</v>
      </c>
      <c r="B11" s="24" t="n">
        <f aca="false">'Taxa de occisão'!B11</f>
        <v>71</v>
      </c>
      <c r="C11" s="24" t="n">
        <f aca="false">'Taxa de occisão'!C11</f>
        <v>16</v>
      </c>
      <c r="D11" s="17" t="n">
        <f aca="false">C11/B11</f>
        <v>0.225352112676056</v>
      </c>
      <c r="E11" s="5" t="n">
        <f aca="false">IF(B11&gt;=$Q$2,1,0)</f>
        <v>1</v>
      </c>
      <c r="F11" s="25" t="n">
        <f aca="false">IF(E11=1,(D11-$Q$4)/SQRT($Q$4*(1-$Q$4)/B11),"")</f>
        <v>7.32204684254621</v>
      </c>
      <c r="G11" s="25" t="n">
        <f aca="false">IF(F11="","",MAX(MIN(F11,$Q$6),$Q$5))</f>
        <v>4.51449655176845</v>
      </c>
      <c r="H11" s="25" t="n">
        <f aca="false">IF(F11="","",F11/SQRT($Q$7))</f>
        <v>2.9000917780433</v>
      </c>
      <c r="I11" s="5" t="n">
        <f aca="false">IF(E11=1,B11/($Q$4*(1-$Q$4)),"")</f>
        <v>1649.57980670338</v>
      </c>
      <c r="J11" s="5" t="n">
        <f aca="false">IF(E11=1,I11*(D11-$Q$4)^2,"")</f>
        <v>53.6123699644408</v>
      </c>
      <c r="K11" s="5" t="n">
        <f aca="false">IF(E11=1,I11^2,"")</f>
        <v>2721113.53868357</v>
      </c>
      <c r="L11" s="25" t="n">
        <f aca="false">IF(E11=1,(D11-$Q$4)/SQRT($Q$4*(1-$Q$4)/B11+$Q$11),"")</f>
        <v>3.12965831744742</v>
      </c>
      <c r="M11" s="26" t="n">
        <f aca="false">IF(H11="","",NORMSDIST(-H11))</f>
        <v>0.00186526706130238</v>
      </c>
      <c r="N11" s="5" t="str">
        <f aca="false">IF(H11="","",IF(H11&gt;$Q$14,"Sim","Não"))</f>
        <v>Não</v>
      </c>
      <c r="O11" s="2"/>
      <c r="P11" s="15" t="s">
        <v>233</v>
      </c>
      <c r="Q11" s="29" t="n">
        <f aca="false">MAX(0,(Q8-(Q3-1))/(Q9-Q10/Q9))</f>
        <v>0.00271194882751386</v>
      </c>
      <c r="R11" s="2"/>
      <c r="S11" s="5" t="n">
        <v>150</v>
      </c>
      <c r="T11" s="17" t="n">
        <f aca="false">$Q$4</f>
        <v>0.0450728234438846</v>
      </c>
      <c r="U11" s="17" t="n">
        <f aca="false">$Q$4+$Q$13*SQRT($Q$7*$Q$4*(1-$Q$4)/S11)</f>
        <v>0.128896312595002</v>
      </c>
      <c r="V11" s="17" t="n">
        <f aca="false">$Q$4+$Q$14*SQRT($Q$7*$Q$4*(1-$Q$4)/S11)</f>
        <v>0.177235469556995</v>
      </c>
      <c r="W11" s="17" t="n">
        <f aca="false">MAX(0,$Q$4-$Q$13*SQRT($Q$7*$Q$4*(1-$Q$4)/S11))</f>
        <v>0</v>
      </c>
      <c r="X11" s="17" t="n">
        <f aca="false">MAX(0,$Q$4-$Q$14*SQRT($Q$7*$Q$4*(1-$Q$4)/S11))</f>
        <v>0</v>
      </c>
    </row>
    <row r="12" customFormat="false" ht="15" hidden="false" customHeight="false" outlineLevel="0" collapsed="false">
      <c r="A12" s="24" t="str">
        <f aca="false">'Taxa de occisão'!A12</f>
        <v>Melgaço</v>
      </c>
      <c r="B12" s="24" t="n">
        <f aca="false">'Taxa de occisão'!B12</f>
        <v>5</v>
      </c>
      <c r="C12" s="24" t="n">
        <f aca="false">'Taxa de occisão'!C12</f>
        <v>1</v>
      </c>
      <c r="D12" s="17" t="n">
        <f aca="false">C12/B12</f>
        <v>0.2</v>
      </c>
      <c r="E12" s="5" t="n">
        <f aca="false">IF(B12&gt;=$Q$2,1,0)</f>
        <v>0</v>
      </c>
      <c r="F12" s="25" t="str">
        <f aca="false">IF(E12=1,(D12-$Q$4)/SQRT($Q$4*(1-$Q$4)/B12),"")</f>
        <v/>
      </c>
      <c r="G12" s="25" t="str">
        <f aca="false">IF(F12="","",MAX(MIN(F12,$Q$6),$Q$5))</f>
        <v/>
      </c>
      <c r="H12" s="25" t="str">
        <f aca="false">IF(F12="","",F12/SQRT($Q$7))</f>
        <v/>
      </c>
      <c r="I12" s="5" t="str">
        <f aca="false">IF(E12=1,B12/($Q$4*(1-$Q$4)),"")</f>
        <v/>
      </c>
      <c r="J12" s="5" t="str">
        <f aca="false">IF(E12=1,I12*(D12-$Q$4)^2,"")</f>
        <v/>
      </c>
      <c r="K12" s="5" t="str">
        <f aca="false">IF(E12=1,I12^2,"")</f>
        <v/>
      </c>
      <c r="L12" s="25" t="str">
        <f aca="false">IF(E12=1,(D12-$Q$4)/SQRT($Q$4*(1-$Q$4)/B12+$Q$11),"")</f>
        <v/>
      </c>
      <c r="M12" s="26" t="str">
        <f aca="false">IF(H12="","",NORMSDIST(-H12))</f>
        <v/>
      </c>
      <c r="N12" s="5" t="str">
        <f aca="false">IF(H12="","",IF(H12&gt;$Q$14,"Sim","Não"))</f>
        <v/>
      </c>
      <c r="O12" s="2"/>
      <c r="P12" s="15" t="s">
        <v>234</v>
      </c>
      <c r="Q12" s="27" t="n">
        <f aca="false">SQRT(Q11)</f>
        <v>0.0520763749459759</v>
      </c>
      <c r="R12" s="2"/>
      <c r="S12" s="5" t="n">
        <v>200</v>
      </c>
      <c r="T12" s="17" t="n">
        <f aca="false">$Q$4</f>
        <v>0.0450728234438846</v>
      </c>
      <c r="U12" s="17" t="n">
        <f aca="false">$Q$4+$Q$13*SQRT($Q$7*$Q$4*(1-$Q$4)/S12)</f>
        <v>0.117666094482602</v>
      </c>
      <c r="V12" s="17" t="n">
        <f aca="false">$Q$4+$Q$14*SQRT($Q$7*$Q$4*(1-$Q$4)/S12)</f>
        <v>0.159529032409211</v>
      </c>
      <c r="W12" s="17" t="n">
        <f aca="false">MAX(0,$Q$4-$Q$13*SQRT($Q$7*$Q$4*(1-$Q$4)/S12))</f>
        <v>0</v>
      </c>
      <c r="X12" s="17" t="n">
        <f aca="false">MAX(0,$Q$4-$Q$14*SQRT($Q$7*$Q$4*(1-$Q$4)/S12))</f>
        <v>0</v>
      </c>
    </row>
    <row r="13" customFormat="false" ht="15" hidden="false" customHeight="false" outlineLevel="0" collapsed="false">
      <c r="A13" s="24" t="str">
        <f aca="false">'Taxa de occisão'!A13</f>
        <v>Matosinhos</v>
      </c>
      <c r="B13" s="24" t="n">
        <f aca="false">'Taxa de occisão'!B13</f>
        <v>491</v>
      </c>
      <c r="C13" s="24" t="n">
        <f aca="false">'Taxa de occisão'!C13</f>
        <v>86</v>
      </c>
      <c r="D13" s="17" t="n">
        <f aca="false">C13/B13</f>
        <v>0.175152749490835</v>
      </c>
      <c r="E13" s="5" t="n">
        <f aca="false">IF(B13&gt;=$Q$2,1,0)</f>
        <v>1</v>
      </c>
      <c r="F13" s="25" t="n">
        <f aca="false">IF(E13=1,(D13-$Q$4)/SQRT($Q$4*(1-$Q$4)/B13),"")</f>
        <v>13.8933993383041</v>
      </c>
      <c r="G13" s="25" t="n">
        <f aca="false">IF(F13="","",MAX(MIN(F13,$Q$6),$Q$5))</f>
        <v>4.51449655176845</v>
      </c>
      <c r="H13" s="25" t="n">
        <f aca="false">IF(F13="","",F13/SQRT($Q$7))</f>
        <v>5.5028510547027</v>
      </c>
      <c r="I13" s="5" t="n">
        <f aca="false">IF(E13=1,B13/($Q$4*(1-$Q$4)),"")</f>
        <v>11407.657536498</v>
      </c>
      <c r="J13" s="5" t="n">
        <f aca="false">IF(E13=1,I13*(D13-$Q$4)^2,"")</f>
        <v>193.026545173589</v>
      </c>
      <c r="K13" s="5" t="n">
        <f aca="false">IF(E13=1,I13^2,"")</f>
        <v>130134650.47002</v>
      </c>
      <c r="L13" s="25" t="n">
        <f aca="false">IF(E13=1,(D13-$Q$4)/SQRT($Q$4*(1-$Q$4)/B13+$Q$11),"")</f>
        <v>2.45845108671983</v>
      </c>
      <c r="M13" s="26" t="n">
        <f aca="false">IF(H13="","",NORMSDIST(-H13))</f>
        <v>1.86849060013269E-008</v>
      </c>
      <c r="N13" s="5" t="str">
        <f aca="false">IF(H13="","",IF(H13&gt;$Q$14,"Sim","Não"))</f>
        <v>Sim</v>
      </c>
      <c r="O13" s="2"/>
      <c r="P13" s="15" t="s">
        <v>235</v>
      </c>
      <c r="Q13" s="30" t="n">
        <v>1.959964</v>
      </c>
      <c r="R13" s="2"/>
      <c r="S13" s="5" t="n">
        <v>250</v>
      </c>
      <c r="T13" s="17" t="n">
        <f aca="false">$Q$4</f>
        <v>0.0450728234438846</v>
      </c>
      <c r="U13" s="17" t="n">
        <f aca="false">$Q$4+$Q$13*SQRT($Q$7*$Q$4*(1-$Q$4)/S13)</f>
        <v>0.11000221894454</v>
      </c>
      <c r="V13" s="17" t="n">
        <f aca="false">$Q$4+$Q$14*SQRT($Q$7*$Q$4*(1-$Q$4)/S13)</f>
        <v>0.147445568921241</v>
      </c>
      <c r="W13" s="17" t="n">
        <f aca="false">MAX(0,$Q$4-$Q$13*SQRT($Q$7*$Q$4*(1-$Q$4)/S13))</f>
        <v>0</v>
      </c>
      <c r="X13" s="17" t="n">
        <f aca="false">MAX(0,$Q$4-$Q$14*SQRT($Q$7*$Q$4*(1-$Q$4)/S13))</f>
        <v>0</v>
      </c>
    </row>
    <row r="14" customFormat="false" ht="15" hidden="false" customHeight="false" outlineLevel="0" collapsed="false">
      <c r="A14" s="24" t="str">
        <f aca="false">'Taxa de occisão'!A14</f>
        <v>Vila Viçosa</v>
      </c>
      <c r="B14" s="24" t="n">
        <f aca="false">'Taxa de occisão'!B14</f>
        <v>29</v>
      </c>
      <c r="C14" s="24" t="n">
        <f aca="false">'Taxa de occisão'!C14</f>
        <v>5</v>
      </c>
      <c r="D14" s="17" t="n">
        <f aca="false">C14/B14</f>
        <v>0.172413793103448</v>
      </c>
      <c r="E14" s="5" t="n">
        <f aca="false">IF(B14&gt;=$Q$2,1,0)</f>
        <v>1</v>
      </c>
      <c r="F14" s="25" t="n">
        <f aca="false">IF(E14=1,(D14-$Q$4)/SQRT($Q$4*(1-$Q$4)/B14),"")</f>
        <v>3.30540472006109</v>
      </c>
      <c r="G14" s="25" t="n">
        <f aca="false">IF(F14="","",MAX(MIN(F14,$Q$6),$Q$5))</f>
        <v>3.30540472006109</v>
      </c>
      <c r="H14" s="25" t="n">
        <f aca="false">IF(F14="","",F14/SQRT($Q$7))</f>
        <v>1.30919362548372</v>
      </c>
      <c r="I14" s="5" t="n">
        <f aca="false">IF(E14=1,B14/($Q$4*(1-$Q$4)),"")</f>
        <v>673.772033723917</v>
      </c>
      <c r="J14" s="5" t="n">
        <f aca="false">IF(E14=1,I14*(D14-$Q$4)^2,"")</f>
        <v>10.9257003634022</v>
      </c>
      <c r="K14" s="5" t="n">
        <f aca="false">IF(E14=1,I14^2,"")</f>
        <v>453968.753428463</v>
      </c>
      <c r="L14" s="25" t="n">
        <f aca="false">IF(E14=1,(D14-$Q$4)/SQRT($Q$4*(1-$Q$4)/B14+$Q$11),"")</f>
        <v>1.96581962953531</v>
      </c>
      <c r="M14" s="26" t="n">
        <f aca="false">IF(H14="","",NORMSDIST(-H14))</f>
        <v>0.0952343854841297</v>
      </c>
      <c r="N14" s="5" t="str">
        <f aca="false">IF(H14="","",IF(H14&gt;$Q$14,"Sim","Não"))</f>
        <v>Não</v>
      </c>
      <c r="O14" s="2"/>
      <c r="P14" s="15" t="s">
        <v>236</v>
      </c>
      <c r="Q14" s="30" t="n">
        <v>3.090232</v>
      </c>
      <c r="R14" s="2"/>
      <c r="S14" s="5" t="n">
        <v>300</v>
      </c>
      <c r="T14" s="17" t="n">
        <f aca="false">$Q$4</f>
        <v>0.0450728234438846</v>
      </c>
      <c r="U14" s="17" t="n">
        <f aca="false">$Q$4+$Q$13*SQRT($Q$7*$Q$4*(1-$Q$4)/S14)</f>
        <v>0.104344981045357</v>
      </c>
      <c r="V14" s="17" t="n">
        <f aca="false">$Q$4+$Q$14*SQRT($Q$7*$Q$4*(1-$Q$4)/S14)</f>
        <v>0.138525926730023</v>
      </c>
      <c r="W14" s="17" t="n">
        <f aca="false">MAX(0,$Q$4-$Q$13*SQRT($Q$7*$Q$4*(1-$Q$4)/S14))</f>
        <v>0</v>
      </c>
      <c r="X14" s="17" t="n">
        <f aca="false">MAX(0,$Q$4-$Q$14*SQRT($Q$7*$Q$4*(1-$Q$4)/S14))</f>
        <v>0</v>
      </c>
    </row>
    <row r="15" customFormat="false" ht="15" hidden="false" customHeight="false" outlineLevel="0" collapsed="false">
      <c r="A15" s="24" t="str">
        <f aca="false">'Taxa de occisão'!A15</f>
        <v>Satão</v>
      </c>
      <c r="B15" s="24" t="n">
        <f aca="false">'Taxa de occisão'!B15</f>
        <v>141</v>
      </c>
      <c r="C15" s="24" t="n">
        <f aca="false">'Taxa de occisão'!C15</f>
        <v>24</v>
      </c>
      <c r="D15" s="17" t="n">
        <f aca="false">C15/B15</f>
        <v>0.170212765957447</v>
      </c>
      <c r="E15" s="5" t="n">
        <f aca="false">IF(B15&gt;=$Q$2,1,0)</f>
        <v>1</v>
      </c>
      <c r="F15" s="25" t="n">
        <f aca="false">IF(E15=1,(D15-$Q$4)/SQRT($Q$4*(1-$Q$4)/B15),"")</f>
        <v>7.16247301725046</v>
      </c>
      <c r="G15" s="25" t="n">
        <f aca="false">IF(F15="","",MAX(MIN(F15,$Q$6),$Q$5))</f>
        <v>4.51449655176845</v>
      </c>
      <c r="H15" s="25" t="n">
        <f aca="false">IF(F15="","",F15/SQRT($Q$7))</f>
        <v>2.83688831203403</v>
      </c>
      <c r="I15" s="5" t="n">
        <f aca="false">IF(E15=1,B15/($Q$4*(1-$Q$4)),"")</f>
        <v>3275.92609500249</v>
      </c>
      <c r="J15" s="5" t="n">
        <f aca="false">IF(E15=1,I15*(D15-$Q$4)^2,"")</f>
        <v>51.3010197228409</v>
      </c>
      <c r="K15" s="5" t="n">
        <f aca="false">IF(E15=1,I15^2,"")</f>
        <v>10731691.7799183</v>
      </c>
      <c r="L15" s="25" t="n">
        <f aca="false">IF(E15=1,(D15-$Q$4)/SQRT($Q$4*(1-$Q$4)/B15+$Q$11),"")</f>
        <v>2.27820850279623</v>
      </c>
      <c r="M15" s="26" t="n">
        <f aca="false">IF(H15="","",NORMSDIST(-H15))</f>
        <v>0.00227777723751</v>
      </c>
      <c r="N15" s="5" t="str">
        <f aca="false">IF(H15="","",IF(H15&gt;$Q$14,"Sim","Não"))</f>
        <v>Não</v>
      </c>
      <c r="O15" s="2"/>
      <c r="P15" s="15" t="s">
        <v>237</v>
      </c>
      <c r="Q15" s="25" t="n">
        <f aca="false">NORMSINV(1-0.05/Q3)</f>
        <v>3.40293283538533</v>
      </c>
      <c r="R15" s="2"/>
      <c r="S15" s="5" t="n">
        <v>400</v>
      </c>
      <c r="T15" s="17" t="n">
        <f aca="false">$Q$4</f>
        <v>0.0450728234438846</v>
      </c>
      <c r="U15" s="17" t="n">
        <f aca="false">$Q$4+$Q$13*SQRT($Q$7*$Q$4*(1-$Q$4)/S15)</f>
        <v>0.0964040176638744</v>
      </c>
      <c r="V15" s="17" t="n">
        <f aca="false">$Q$4+$Q$14*SQRT($Q$7*$Q$4*(1-$Q$4)/S15)</f>
        <v>0.126005584952171</v>
      </c>
      <c r="W15" s="17" t="n">
        <f aca="false">MAX(0,$Q$4-$Q$13*SQRT($Q$7*$Q$4*(1-$Q$4)/S15))</f>
        <v>0</v>
      </c>
      <c r="X15" s="17" t="n">
        <f aca="false">MAX(0,$Q$4-$Q$14*SQRT($Q$7*$Q$4*(1-$Q$4)/S15))</f>
        <v>0</v>
      </c>
    </row>
    <row r="16" customFormat="false" ht="15" hidden="false" customHeight="false" outlineLevel="0" collapsed="false">
      <c r="A16" s="24" t="str">
        <f aca="false">'Taxa de occisão'!A16</f>
        <v>Alcanena</v>
      </c>
      <c r="B16" s="24" t="n">
        <f aca="false">'Taxa de occisão'!B16</f>
        <v>71</v>
      </c>
      <c r="C16" s="24" t="n">
        <f aca="false">'Taxa de occisão'!C16</f>
        <v>11</v>
      </c>
      <c r="D16" s="17" t="n">
        <f aca="false">C16/B16</f>
        <v>0.154929577464789</v>
      </c>
      <c r="E16" s="5" t="n">
        <f aca="false">IF(B16&gt;=$Q$2,1,0)</f>
        <v>1</v>
      </c>
      <c r="F16" s="25" t="n">
        <f aca="false">IF(E16=1,(D16-$Q$4)/SQRT($Q$4*(1-$Q$4)/B16),"")</f>
        <v>4.46183420367952</v>
      </c>
      <c r="G16" s="25" t="n">
        <f aca="false">IF(F16="","",MAX(MIN(F16,$Q$6),$Q$5))</f>
        <v>4.46183420367952</v>
      </c>
      <c r="H16" s="25" t="n">
        <f aca="false">IF(F16="","",F16/SQRT($Q$7))</f>
        <v>1.76722834029065</v>
      </c>
      <c r="I16" s="5" t="n">
        <f aca="false">IF(E16=1,B16/($Q$4*(1-$Q$4)),"")</f>
        <v>1649.57980670338</v>
      </c>
      <c r="J16" s="5" t="n">
        <f aca="false">IF(E16=1,I16*(D16-$Q$4)^2,"")</f>
        <v>19.9079644611244</v>
      </c>
      <c r="K16" s="5" t="n">
        <f aca="false">IF(E16=1,I16^2,"")</f>
        <v>2721113.53868357</v>
      </c>
      <c r="L16" s="25" t="n">
        <f aca="false">IF(E16=1,(D16-$Q$4)/SQRT($Q$4*(1-$Q$4)/B16+$Q$11),"")</f>
        <v>1.9071192559813</v>
      </c>
      <c r="M16" s="26" t="n">
        <f aca="false">IF(H16="","",NORMSDIST(-H16))</f>
        <v>0.0385949976429664</v>
      </c>
      <c r="N16" s="5" t="str">
        <f aca="false">IF(H16="","",IF(H16&gt;$Q$14,"Sim","Não"))</f>
        <v>Não</v>
      </c>
      <c r="O16" s="2"/>
      <c r="P16" s="2"/>
      <c r="Q16" s="2"/>
      <c r="R16" s="2"/>
      <c r="S16" s="5" t="n">
        <v>500</v>
      </c>
      <c r="T16" s="17" t="n">
        <f aca="false">$Q$4</f>
        <v>0.0450728234438846</v>
      </c>
      <c r="U16" s="17" t="n">
        <f aca="false">$Q$4+$Q$13*SQRT($Q$7*$Q$4*(1-$Q$4)/S16)</f>
        <v>0.0909848393007412</v>
      </c>
      <c r="V16" s="17" t="n">
        <f aca="false">$Q$4+$Q$14*SQRT($Q$7*$Q$4*(1-$Q$4)/S16)</f>
        <v>0.117461285979608</v>
      </c>
      <c r="W16" s="17" t="n">
        <f aca="false">MAX(0,$Q$4-$Q$13*SQRT($Q$7*$Q$4*(1-$Q$4)/S16))</f>
        <v>0</v>
      </c>
      <c r="X16" s="17" t="n">
        <f aca="false">MAX(0,$Q$4-$Q$14*SQRT($Q$7*$Q$4*(1-$Q$4)/S16))</f>
        <v>0</v>
      </c>
    </row>
    <row r="17" customFormat="false" ht="15" hidden="false" customHeight="false" outlineLevel="0" collapsed="false">
      <c r="A17" s="24" t="str">
        <f aca="false">'Taxa de occisão'!A17</f>
        <v>Ponte da Barca</v>
      </c>
      <c r="B17" s="24" t="n">
        <f aca="false">'Taxa de occisão'!B17</f>
        <v>21</v>
      </c>
      <c r="C17" s="24" t="n">
        <f aca="false">'Taxa de occisão'!C17</f>
        <v>3</v>
      </c>
      <c r="D17" s="17" t="n">
        <f aca="false">C17/B17</f>
        <v>0.142857142857143</v>
      </c>
      <c r="E17" s="5" t="n">
        <f aca="false">IF(B17&gt;=$Q$2,1,0)</f>
        <v>1</v>
      </c>
      <c r="F17" s="25" t="n">
        <f aca="false">IF(E17=1,(D17-$Q$4)/SQRT($Q$4*(1-$Q$4)/B17),"")</f>
        <v>2.15991348634626</v>
      </c>
      <c r="G17" s="25" t="n">
        <f aca="false">IF(F17="","",MAX(MIN(F17,$Q$6),$Q$5))</f>
        <v>2.15991348634626</v>
      </c>
      <c r="H17" s="25" t="n">
        <f aca="false">IF(F17="","",F17/SQRT($Q$7))</f>
        <v>0.855491296045759</v>
      </c>
      <c r="I17" s="5" t="n">
        <f aca="false">IF(E17=1,B17/($Q$4*(1-$Q$4)),"")</f>
        <v>487.903886489733</v>
      </c>
      <c r="J17" s="5" t="n">
        <f aca="false">IF(E17=1,I17*(D17-$Q$4)^2,"")</f>
        <v>4.66522626850045</v>
      </c>
      <c r="K17" s="5" t="n">
        <f aca="false">IF(E17=1,I17^2,"")</f>
        <v>238050.202451786</v>
      </c>
      <c r="L17" s="25" t="n">
        <f aca="false">IF(E17=1,(D17-$Q$4)/SQRT($Q$4*(1-$Q$4)/B17+$Q$11),"")</f>
        <v>1.41708475491882</v>
      </c>
      <c r="M17" s="26" t="n">
        <f aca="false">IF(H17="","",NORMSDIST(-H17))</f>
        <v>0.196139610465896</v>
      </c>
      <c r="N17" s="5" t="str">
        <f aca="false">IF(H17="","",IF(H17&gt;$Q$14,"Sim","Não"))</f>
        <v>Não</v>
      </c>
      <c r="O17" s="2"/>
      <c r="P17" s="2"/>
      <c r="Q17" s="2"/>
      <c r="R17" s="2"/>
      <c r="S17" s="5" t="n">
        <v>600</v>
      </c>
      <c r="T17" s="17" t="n">
        <f aca="false">$Q$4</f>
        <v>0.0450728234438846</v>
      </c>
      <c r="U17" s="17" t="n">
        <f aca="false">$Q$4+$Q$13*SQRT($Q$7*$Q$4*(1-$Q$4)/S17)</f>
        <v>0.0869845680194434</v>
      </c>
      <c r="V17" s="17" t="n">
        <f aca="false">$Q$4+$Q$14*SQRT($Q$7*$Q$4*(1-$Q$4)/S17)</f>
        <v>0.11115414650044</v>
      </c>
      <c r="W17" s="17" t="n">
        <f aca="false">MAX(0,$Q$4-$Q$13*SQRT($Q$7*$Q$4*(1-$Q$4)/S17))</f>
        <v>0.00316107886832583</v>
      </c>
      <c r="X17" s="17" t="n">
        <f aca="false">MAX(0,$Q$4-$Q$14*SQRT($Q$7*$Q$4*(1-$Q$4)/S17))</f>
        <v>0</v>
      </c>
    </row>
    <row r="18" customFormat="false" ht="15" hidden="false" customHeight="false" outlineLevel="0" collapsed="false">
      <c r="A18" s="24" t="str">
        <f aca="false">'Taxa de occisão'!A18</f>
        <v>Funchal</v>
      </c>
      <c r="B18" s="24" t="n">
        <f aca="false">'Taxa de occisão'!B18</f>
        <v>475</v>
      </c>
      <c r="C18" s="24" t="n">
        <f aca="false">'Taxa de occisão'!C18</f>
        <v>65</v>
      </c>
      <c r="D18" s="17" t="n">
        <f aca="false">C18/B18</f>
        <v>0.136842105263158</v>
      </c>
      <c r="E18" s="5" t="n">
        <f aca="false">IF(B18&gt;=$Q$2,1,0)</f>
        <v>1</v>
      </c>
      <c r="F18" s="25" t="n">
        <f aca="false">IF(E18=1,(D18-$Q$4)/SQRT($Q$4*(1-$Q$4)/B18),"")</f>
        <v>9.64054595511849</v>
      </c>
      <c r="G18" s="25" t="n">
        <f aca="false">IF(F18="","",MAX(MIN(F18,$Q$6),$Q$5))</f>
        <v>4.51449655176845</v>
      </c>
      <c r="H18" s="25" t="n">
        <f aca="false">IF(F18="","",F18/SQRT($Q$7))</f>
        <v>3.81839513752213</v>
      </c>
      <c r="I18" s="5" t="n">
        <f aca="false">IF(E18=1,B18/($Q$4*(1-$Q$4)),"")</f>
        <v>11035.9212420297</v>
      </c>
      <c r="J18" s="5" t="n">
        <f aca="false">IF(E18=1,I18*(D18-$Q$4)^2,"")</f>
        <v>92.9401263127514</v>
      </c>
      <c r="K18" s="5" t="n">
        <f aca="false">IF(E18=1,I18^2,"")</f>
        <v>121791557.660282</v>
      </c>
      <c r="L18" s="25" t="n">
        <f aca="false">IF(E18=1,(D18-$Q$4)/SQRT($Q$4*(1-$Q$4)/B18+$Q$11),"")</f>
        <v>1.73348352005924</v>
      </c>
      <c r="M18" s="26" t="n">
        <f aca="false">IF(H18="","",NORMSDIST(-H18))</f>
        <v>6.7161329069348E-005</v>
      </c>
      <c r="N18" s="5" t="str">
        <f aca="false">IF(H18="","",IF(H18&gt;$Q$14,"Sim","Não"))</f>
        <v>Sim</v>
      </c>
      <c r="O18" s="2"/>
      <c r="P18" s="13" t="s">
        <v>238</v>
      </c>
      <c r="Q18" s="31"/>
      <c r="R18" s="2"/>
      <c r="S18" s="5" t="n">
        <v>800</v>
      </c>
      <c r="T18" s="17" t="n">
        <f aca="false">$Q$4</f>
        <v>0.0450728234438846</v>
      </c>
      <c r="U18" s="17" t="n">
        <f aca="false">$Q$4+$Q$13*SQRT($Q$7*$Q$4*(1-$Q$4)/S18)</f>
        <v>0.0813694589632431</v>
      </c>
      <c r="V18" s="17" t="n">
        <f aca="false">$Q$4+$Q$14*SQRT($Q$7*$Q$4*(1-$Q$4)/S18)</f>
        <v>0.102300927926548</v>
      </c>
      <c r="W18" s="17" t="n">
        <f aca="false">MAX(0,$Q$4-$Q$13*SQRT($Q$7*$Q$4*(1-$Q$4)/S18))</f>
        <v>0.00877618792452605</v>
      </c>
      <c r="X18" s="17" t="n">
        <f aca="false">MAX(0,$Q$4-$Q$14*SQRT($Q$7*$Q$4*(1-$Q$4)/S18))</f>
        <v>0</v>
      </c>
    </row>
    <row r="19" customFormat="false" ht="15" hidden="false" customHeight="false" outlineLevel="0" collapsed="false">
      <c r="A19" s="24" t="str">
        <f aca="false">'Taxa de occisão'!A19</f>
        <v>Macedo de Cavaleiros</v>
      </c>
      <c r="B19" s="24" t="n">
        <f aca="false">'Taxa de occisão'!B19</f>
        <v>59</v>
      </c>
      <c r="C19" s="24" t="n">
        <f aca="false">'Taxa de occisão'!C19</f>
        <v>8</v>
      </c>
      <c r="D19" s="17" t="n">
        <f aca="false">C19/B19</f>
        <v>0.135593220338983</v>
      </c>
      <c r="E19" s="5" t="n">
        <f aca="false">IF(B19&gt;=$Q$2,1,0)</f>
        <v>1</v>
      </c>
      <c r="F19" s="25" t="n">
        <f aca="false">IF(E19=1,(D19-$Q$4)/SQRT($Q$4*(1-$Q$4)/B19),"")</f>
        <v>3.35142840914332</v>
      </c>
      <c r="G19" s="25" t="n">
        <f aca="false">IF(F19="","",MAX(MIN(F19,$Q$6),$Q$5))</f>
        <v>3.35142840914332</v>
      </c>
      <c r="H19" s="25" t="n">
        <f aca="false">IF(F19="","",F19/SQRT($Q$7))</f>
        <v>1.32742253403522</v>
      </c>
      <c r="I19" s="5" t="n">
        <f aca="false">IF(E19=1,B19/($Q$4*(1-$Q$4)),"")</f>
        <v>1370.77758585211</v>
      </c>
      <c r="J19" s="5" t="n">
        <f aca="false">IF(E19=1,I19*(D19-$Q$4)^2,"")</f>
        <v>11.232072381613</v>
      </c>
      <c r="K19" s="5" t="n">
        <f aca="false">IF(E19=1,I19^2,"")</f>
        <v>1879031.18987453</v>
      </c>
      <c r="L19" s="25" t="n">
        <f aca="false">IF(E19=1,(D19-$Q$4)/SQRT($Q$4*(1-$Q$4)/B19+$Q$11),"")</f>
        <v>1.54303214768848</v>
      </c>
      <c r="M19" s="26" t="n">
        <f aca="false">IF(H19="","",NORMSDIST(-H19))</f>
        <v>0.0921844748102777</v>
      </c>
      <c r="N19" s="5" t="str">
        <f aca="false">IF(H19="","",IF(H19&gt;$Q$14,"Sim","Não"))</f>
        <v>Não</v>
      </c>
      <c r="O19" s="2"/>
      <c r="P19" s="15" t="s">
        <v>239</v>
      </c>
      <c r="Q19" s="8" t="n">
        <f aca="false">C2</f>
        <v>79</v>
      </c>
      <c r="R19" s="2"/>
      <c r="S19" s="5" t="n">
        <v>1000</v>
      </c>
      <c r="T19" s="17" t="n">
        <f aca="false">$Q$4</f>
        <v>0.0450728234438846</v>
      </c>
      <c r="U19" s="17" t="n">
        <f aca="false">$Q$4+$Q$13*SQRT($Q$7*$Q$4*(1-$Q$4)/S19)</f>
        <v>0.0775375211942122</v>
      </c>
      <c r="V19" s="17" t="n">
        <f aca="false">$Q$4+$Q$14*SQRT($Q$7*$Q$4*(1-$Q$4)/S19)</f>
        <v>0.0962591961825627</v>
      </c>
      <c r="W19" s="17" t="n">
        <f aca="false">MAX(0,$Q$4-$Q$13*SQRT($Q$7*$Q$4*(1-$Q$4)/S19))</f>
        <v>0.012608125693557</v>
      </c>
      <c r="X19" s="17" t="n">
        <f aca="false">MAX(0,$Q$4-$Q$14*SQRT($Q$7*$Q$4*(1-$Q$4)/S19))</f>
        <v>0</v>
      </c>
    </row>
    <row r="20" customFormat="false" ht="15" hidden="false" customHeight="false" outlineLevel="0" collapsed="false">
      <c r="A20" s="24" t="str">
        <f aca="false">'Taxa de occisão'!A20</f>
        <v>Fafe</v>
      </c>
      <c r="B20" s="24" t="n">
        <f aca="false">'Taxa de occisão'!B20</f>
        <v>367</v>
      </c>
      <c r="C20" s="24" t="n">
        <f aca="false">'Taxa de occisão'!C20</f>
        <v>49</v>
      </c>
      <c r="D20" s="17" t="n">
        <f aca="false">C20/B20</f>
        <v>0.133514986376022</v>
      </c>
      <c r="E20" s="5" t="n">
        <f aca="false">IF(B20&gt;=$Q$2,1,0)</f>
        <v>1</v>
      </c>
      <c r="F20" s="25" t="n">
        <f aca="false">IF(E20=1,(D20-$Q$4)/SQRT($Q$4*(1-$Q$4)/B20),"")</f>
        <v>8.16676161086995</v>
      </c>
      <c r="G20" s="25" t="n">
        <f aca="false">IF(F20="","",MAX(MIN(F20,$Q$6),$Q$5))</f>
        <v>4.51449655176845</v>
      </c>
      <c r="H20" s="25" t="n">
        <f aca="false">IF(F20="","",F20/SQRT($Q$7))</f>
        <v>3.23466357293713</v>
      </c>
      <c r="I20" s="5" t="n">
        <f aca="false">IF(E20=1,B20/($Q$4*(1-$Q$4)),"")</f>
        <v>8526.70125436819</v>
      </c>
      <c r="J20" s="5" t="n">
        <f aca="false">IF(E20=1,I20*(D20-$Q$4)^2,"")</f>
        <v>66.6959952087792</v>
      </c>
      <c r="K20" s="5" t="n">
        <f aca="false">IF(E20=1,I20^2,"")</f>
        <v>72704634.281244</v>
      </c>
      <c r="L20" s="25" t="n">
        <f aca="false">IF(E20=1,(D20-$Q$4)/SQRT($Q$4*(1-$Q$4)/B20+$Q$11),"")</f>
        <v>1.66274412324531</v>
      </c>
      <c r="M20" s="26" t="n">
        <f aca="false">IF(H20="","",NORMSDIST(-H20))</f>
        <v>0.000608930692564464</v>
      </c>
      <c r="N20" s="5" t="str">
        <f aca="false">IF(H20="","",IF(H20&gt;$Q$14,"Sim","Não"))</f>
        <v>Sim</v>
      </c>
      <c r="O20" s="2"/>
      <c r="P20" s="15" t="s">
        <v>240</v>
      </c>
      <c r="Q20" s="8" t="n">
        <f aca="false">B2</f>
        <v>260</v>
      </c>
      <c r="R20" s="2"/>
      <c r="S20" s="5" t="n">
        <v>1250</v>
      </c>
      <c r="T20" s="17" t="n">
        <f aca="false">$Q$4</f>
        <v>0.0450728234438846</v>
      </c>
      <c r="U20" s="17" t="n">
        <f aca="false">$Q$4+$Q$13*SQRT($Q$7*$Q$4*(1-$Q$4)/S20)</f>
        <v>0.0741101318593714</v>
      </c>
      <c r="V20" s="17" t="n">
        <f aca="false">$Q$4+$Q$14*SQRT($Q$7*$Q$4*(1-$Q$4)/S20)</f>
        <v>0.0908553070300151</v>
      </c>
      <c r="W20" s="17" t="n">
        <f aca="false">MAX(0,$Q$4-$Q$13*SQRT($Q$7*$Q$4*(1-$Q$4)/S20))</f>
        <v>0.0160355150283978</v>
      </c>
      <c r="X20" s="17" t="n">
        <f aca="false">MAX(0,$Q$4-$Q$14*SQRT($Q$7*$Q$4*(1-$Q$4)/S20))</f>
        <v>0</v>
      </c>
    </row>
    <row r="21" customFormat="false" ht="15" hidden="false" customHeight="false" outlineLevel="0" collapsed="false">
      <c r="A21" s="24" t="str">
        <f aca="false">'Taxa de occisão'!A21</f>
        <v>Pinhel</v>
      </c>
      <c r="B21" s="24" t="n">
        <f aca="false">'Taxa de occisão'!B21</f>
        <v>54</v>
      </c>
      <c r="C21" s="24" t="n">
        <f aca="false">'Taxa de occisão'!C21</f>
        <v>7</v>
      </c>
      <c r="D21" s="17" t="n">
        <f aca="false">C21/B21</f>
        <v>0.12962962962963</v>
      </c>
      <c r="E21" s="5" t="n">
        <f aca="false">IF(B21&gt;=$Q$2,1,0)</f>
        <v>1</v>
      </c>
      <c r="F21" s="25" t="n">
        <f aca="false">IF(E21=1,(D21-$Q$4)/SQRT($Q$4*(1-$Q$4)/B21),"")</f>
        <v>2.99504217346187</v>
      </c>
      <c r="G21" s="25" t="n">
        <f aca="false">IF(F21="","",MAX(MIN(F21,$Q$6),$Q$5))</f>
        <v>2.99504217346187</v>
      </c>
      <c r="H21" s="25" t="n">
        <f aca="false">IF(F21="","",F21/SQRT($Q$7))</f>
        <v>1.18626626801656</v>
      </c>
      <c r="I21" s="5" t="n">
        <f aca="false">IF(E21=1,B21/($Q$4*(1-$Q$4)),"")</f>
        <v>1254.60999383074</v>
      </c>
      <c r="J21" s="5" t="n">
        <f aca="false">IF(E21=1,I21*(D21-$Q$4)^2,"")</f>
        <v>8.97027762081523</v>
      </c>
      <c r="K21" s="5" t="n">
        <f aca="false">IF(E21=1,I21^2,"")</f>
        <v>1574046.23661997</v>
      </c>
      <c r="L21" s="25" t="n">
        <f aca="false">IF(E21=1,(D21-$Q$4)/SQRT($Q$4*(1-$Q$4)/B21+$Q$11),"")</f>
        <v>1.42743490671622</v>
      </c>
      <c r="M21" s="26" t="n">
        <f aca="false">IF(H21="","",NORMSDIST(-H21))</f>
        <v>0.117758581689697</v>
      </c>
      <c r="N21" s="5" t="str">
        <f aca="false">IF(H21="","",IF(H21&gt;$Q$14,"Sim","Não"))</f>
        <v>Não</v>
      </c>
      <c r="O21" s="2"/>
      <c r="P21" s="15" t="s">
        <v>241</v>
      </c>
      <c r="Q21" s="6" t="n">
        <f aca="false">B2*Q4</f>
        <v>11.71893409541</v>
      </c>
      <c r="R21" s="2"/>
      <c r="S21" s="5" t="n">
        <v>1500</v>
      </c>
      <c r="T21" s="17" t="n">
        <f aca="false">$Q$4</f>
        <v>0.0450728234438846</v>
      </c>
      <c r="U21" s="17" t="n">
        <f aca="false">$Q$4+$Q$13*SQRT($Q$7*$Q$4*(1-$Q$4)/S21)</f>
        <v>0.0715801381578791</v>
      </c>
      <c r="V21" s="17" t="n">
        <f aca="false">$Q$4+$Q$14*SQRT($Q$7*$Q$4*(1-$Q$4)/S21)</f>
        <v>0.0868663217751074</v>
      </c>
      <c r="W21" s="17" t="n">
        <f aca="false">MAX(0,$Q$4-$Q$13*SQRT($Q$7*$Q$4*(1-$Q$4)/S21))</f>
        <v>0.01856550872989</v>
      </c>
      <c r="X21" s="17" t="n">
        <f aca="false">MAX(0,$Q$4-$Q$14*SQRT($Q$7*$Q$4*(1-$Q$4)/S21))</f>
        <v>0.00327932511266177</v>
      </c>
    </row>
    <row r="22" customFormat="false" ht="15" hidden="false" customHeight="false" outlineLevel="0" collapsed="false">
      <c r="A22" s="24" t="str">
        <f aca="false">'Taxa de occisão'!A22</f>
        <v>Horta</v>
      </c>
      <c r="B22" s="24" t="n">
        <f aca="false">'Taxa de occisão'!B22</f>
        <v>8</v>
      </c>
      <c r="C22" s="24" t="n">
        <f aca="false">'Taxa de occisão'!C22</f>
        <v>1</v>
      </c>
      <c r="D22" s="17" t="n">
        <f aca="false">C22/B22</f>
        <v>0.125</v>
      </c>
      <c r="E22" s="5" t="n">
        <f aca="false">IF(B22&gt;=$Q$2,1,0)</f>
        <v>0</v>
      </c>
      <c r="F22" s="25" t="str">
        <f aca="false">IF(E22=1,(D22-$Q$4)/SQRT($Q$4*(1-$Q$4)/B22),"")</f>
        <v/>
      </c>
      <c r="G22" s="25" t="str">
        <f aca="false">IF(F22="","",MAX(MIN(F22,$Q$6),$Q$5))</f>
        <v/>
      </c>
      <c r="H22" s="25" t="str">
        <f aca="false">IF(F22="","",F22/SQRT($Q$7))</f>
        <v/>
      </c>
      <c r="I22" s="5" t="str">
        <f aca="false">IF(E22=1,B22/($Q$4*(1-$Q$4)),"")</f>
        <v/>
      </c>
      <c r="J22" s="5" t="str">
        <f aca="false">IF(E22=1,I22*(D22-$Q$4)^2,"")</f>
        <v/>
      </c>
      <c r="K22" s="5" t="str">
        <f aca="false">IF(E22=1,I22^2,"")</f>
        <v/>
      </c>
      <c r="L22" s="25" t="str">
        <f aca="false">IF(E22=1,(D22-$Q$4)/SQRT($Q$4*(1-$Q$4)/B22+$Q$11),"")</f>
        <v/>
      </c>
      <c r="M22" s="26" t="str">
        <f aca="false">IF(H22="","",NORMSDIST(-H22))</f>
        <v/>
      </c>
      <c r="N22" s="5" t="str">
        <f aca="false">IF(H22="","",IF(H22&gt;$Q$14,"Sim","Não"))</f>
        <v/>
      </c>
      <c r="O22" s="2"/>
      <c r="P22" s="15" t="s">
        <v>242</v>
      </c>
      <c r="Q22" s="9" t="n">
        <f aca="false">Q19/Q21</f>
        <v>6.74122743218961</v>
      </c>
      <c r="R22" s="2"/>
      <c r="S22" s="5" t="n">
        <v>2000</v>
      </c>
      <c r="T22" s="17" t="n">
        <f aca="false">$Q$4</f>
        <v>0.0450728234438846</v>
      </c>
      <c r="U22" s="17" t="n">
        <f aca="false">$Q$4+$Q$13*SQRT($Q$7*$Q$4*(1-$Q$4)/S22)</f>
        <v>0.0680288313723129</v>
      </c>
      <c r="V22" s="17" t="n">
        <f aca="false">$Q$4+$Q$14*SQRT($Q$7*$Q$4*(1-$Q$4)/S22)</f>
        <v>0.0812670547117461</v>
      </c>
      <c r="W22" s="17" t="n">
        <f aca="false">MAX(0,$Q$4-$Q$13*SQRT($Q$7*$Q$4*(1-$Q$4)/S22))</f>
        <v>0.0221168155154563</v>
      </c>
      <c r="X22" s="17" t="n">
        <f aca="false">MAX(0,$Q$4-$Q$14*SQRT($Q$7*$Q$4*(1-$Q$4)/S22))</f>
        <v>0.00887859217602308</v>
      </c>
    </row>
    <row r="23" customFormat="false" ht="15" hidden="false" customHeight="false" outlineLevel="0" collapsed="false">
      <c r="A23" s="24" t="str">
        <f aca="false">'Taxa de occisão'!A23</f>
        <v>Valpaços</v>
      </c>
      <c r="B23" s="24" t="n">
        <f aca="false">'Taxa de occisão'!B23</f>
        <v>228</v>
      </c>
      <c r="C23" s="24" t="n">
        <f aca="false">'Taxa de occisão'!C23</f>
        <v>27</v>
      </c>
      <c r="D23" s="17" t="n">
        <f aca="false">C23/B23</f>
        <v>0.118421052631579</v>
      </c>
      <c r="E23" s="5" t="n">
        <f aca="false">IF(B23&gt;=$Q$2,1,0)</f>
        <v>1</v>
      </c>
      <c r="F23" s="25" t="n">
        <f aca="false">IF(E23=1,(D23-$Q$4)/SQRT($Q$4*(1-$Q$4)/B23),"")</f>
        <v>5.33844224100612</v>
      </c>
      <c r="G23" s="25" t="n">
        <f aca="false">IF(F23="","",MAX(MIN(F23,$Q$6),$Q$5))</f>
        <v>4.51449655176845</v>
      </c>
      <c r="H23" s="25" t="n">
        <f aca="false">IF(F23="","",F23/SQRT($Q$7))</f>
        <v>2.1144323143004</v>
      </c>
      <c r="I23" s="5" t="n">
        <f aca="false">IF(E23=1,B23/($Q$4*(1-$Q$4)),"")</f>
        <v>5297.24219617424</v>
      </c>
      <c r="J23" s="5" t="n">
        <f aca="false">IF(E23=1,I23*(D23-$Q$4)^2,"")</f>
        <v>28.4989655605585</v>
      </c>
      <c r="K23" s="5" t="n">
        <f aca="false">IF(E23=1,I23^2,"")</f>
        <v>28060774.8849289</v>
      </c>
      <c r="L23" s="25" t="n">
        <f aca="false">IF(E23=1,(D23-$Q$4)/SQRT($Q$4*(1-$Q$4)/B23+$Q$11),"")</f>
        <v>1.36187189349945</v>
      </c>
      <c r="M23" s="26" t="n">
        <f aca="false">IF(H23="","",NORMSDIST(-H23))</f>
        <v>0.0172391800613056</v>
      </c>
      <c r="N23" s="5" t="str">
        <f aca="false">IF(H23="","",IF(H23&gt;$Q$14,"Sim","Não"))</f>
        <v>Não</v>
      </c>
      <c r="O23" s="2"/>
      <c r="P23" s="32" t="s">
        <v>243</v>
      </c>
      <c r="Q23" s="33" t="n">
        <f aca="false">SUM('Cauda binomial'!B2:B402)</f>
        <v>1.42479534122494E-042</v>
      </c>
      <c r="R23" s="2"/>
      <c r="S23" s="5" t="n">
        <v>2600</v>
      </c>
      <c r="T23" s="17" t="n">
        <f aca="false">$Q$4</f>
        <v>0.0450728234438846</v>
      </c>
      <c r="U23" s="17" t="n">
        <f aca="false">$Q$4+$Q$13*SQRT($Q$7*$Q$4*(1-$Q$4)/S23)</f>
        <v>0.0652065742887884</v>
      </c>
      <c r="V23" s="17" t="n">
        <f aca="false">$Q$4+$Q$14*SQRT($Q$7*$Q$4*(1-$Q$4)/S23)</f>
        <v>0.0768172642300157</v>
      </c>
      <c r="W23" s="17" t="n">
        <f aca="false">MAX(0,$Q$4-$Q$13*SQRT($Q$7*$Q$4*(1-$Q$4)/S23))</f>
        <v>0.0249390725989808</v>
      </c>
      <c r="X23" s="17" t="n">
        <f aca="false">MAX(0,$Q$4-$Q$14*SQRT($Q$7*$Q$4*(1-$Q$4)/S23))</f>
        <v>0.0133283826577534</v>
      </c>
    </row>
    <row r="24" customFormat="false" ht="15" hidden="false" customHeight="false" outlineLevel="0" collapsed="false">
      <c r="A24" s="24" t="str">
        <f aca="false">'Taxa de occisão'!A24</f>
        <v>Montijo</v>
      </c>
      <c r="B24" s="24" t="n">
        <f aca="false">'Taxa de occisão'!B24</f>
        <v>154</v>
      </c>
      <c r="C24" s="24" t="n">
        <f aca="false">'Taxa de occisão'!C24</f>
        <v>18</v>
      </c>
      <c r="D24" s="17" t="n">
        <f aca="false">C24/B24</f>
        <v>0.116883116883117</v>
      </c>
      <c r="E24" s="5" t="n">
        <f aca="false">IF(B24&gt;=$Q$2,1,0)</f>
        <v>1</v>
      </c>
      <c r="F24" s="25" t="n">
        <f aca="false">IF(E24=1,(D24-$Q$4)/SQRT($Q$4*(1-$Q$4)/B24),"")</f>
        <v>4.29540930138689</v>
      </c>
      <c r="G24" s="25" t="n">
        <f aca="false">IF(F24="","",MAX(MIN(F24,$Q$6),$Q$5))</f>
        <v>4.29540930138689</v>
      </c>
      <c r="H24" s="25" t="n">
        <f aca="false">IF(F24="","",F24/SQRT($Q$7))</f>
        <v>1.70131132266165</v>
      </c>
      <c r="I24" s="5" t="n">
        <f aca="false">IF(E24=1,B24/($Q$4*(1-$Q$4)),"")</f>
        <v>3577.96183425804</v>
      </c>
      <c r="J24" s="5" t="n">
        <f aca="false">IF(E24=1,I24*(D24-$Q$4)^2,"")</f>
        <v>18.4505410664411</v>
      </c>
      <c r="K24" s="5" t="n">
        <f aca="false">IF(E24=1,I24^2,"")</f>
        <v>12801810.8874072</v>
      </c>
      <c r="L24" s="25" t="n">
        <f aca="false">IF(E24=1,(D24-$Q$4)/SQRT($Q$4*(1-$Q$4)/B24+$Q$11),"")</f>
        <v>1.312945595514</v>
      </c>
      <c r="M24" s="26" t="n">
        <f aca="false">IF(H24="","",NORMSDIST(-H24))</f>
        <v>0.044442271470413</v>
      </c>
      <c r="N24" s="5" t="str">
        <f aca="false">IF(H24="","",IF(H24&gt;$Q$14,"Sim","Não"))</f>
        <v>Não</v>
      </c>
      <c r="O24" s="2"/>
      <c r="P24" s="15" t="s">
        <v>244</v>
      </c>
      <c r="Q24" s="34" t="n">
        <f aca="false">(C2/B2)/((SUMIFS(C2:C169,E2:E169,1)-C2)/(SUMIFS(B2:B169,E2:E169,1)-B2))</f>
        <v>7.00507674408198</v>
      </c>
      <c r="R24" s="2"/>
      <c r="S24" s="5" t="n">
        <v>3000</v>
      </c>
      <c r="T24" s="17" t="n">
        <f aca="false">$Q$4</f>
        <v>0.0450728234438846</v>
      </c>
      <c r="U24" s="17" t="n">
        <f aca="false">$Q$4+$Q$13*SQRT($Q$7*$Q$4*(1-$Q$4)/S24)</f>
        <v>0.0638163254291961</v>
      </c>
      <c r="V24" s="17" t="n">
        <f aca="false">$Q$4+$Q$14*SQRT($Q$7*$Q$4*(1-$Q$4)/S24)</f>
        <v>0.0746252895234009</v>
      </c>
      <c r="W24" s="17" t="n">
        <f aca="false">MAX(0,$Q$4-$Q$13*SQRT($Q$7*$Q$4*(1-$Q$4)/S24))</f>
        <v>0.0263293214585731</v>
      </c>
      <c r="X24" s="17" t="n">
        <f aca="false">MAX(0,$Q$4-$Q$14*SQRT($Q$7*$Q$4*(1-$Q$4)/S24))</f>
        <v>0.0155203573643683</v>
      </c>
    </row>
    <row r="25" customFormat="false" ht="15" hidden="false" customHeight="false" outlineLevel="0" collapsed="false">
      <c r="A25" s="24" t="str">
        <f aca="false">'Taxa de occisão'!A25</f>
        <v>Porto Santo</v>
      </c>
      <c r="B25" s="24" t="n">
        <f aca="false">'Taxa de occisão'!B25</f>
        <v>27</v>
      </c>
      <c r="C25" s="24" t="n">
        <f aca="false">'Taxa de occisão'!C25</f>
        <v>3</v>
      </c>
      <c r="D25" s="17" t="n">
        <f aca="false">C25/B25</f>
        <v>0.111111111111111</v>
      </c>
      <c r="E25" s="5" t="n">
        <f aca="false">IF(B25&gt;=$Q$2,1,0)</f>
        <v>1</v>
      </c>
      <c r="F25" s="25" t="n">
        <f aca="false">IF(E25=1,(D25-$Q$4)/SQRT($Q$4*(1-$Q$4)/B25),"")</f>
        <v>1.65399875093499</v>
      </c>
      <c r="G25" s="25" t="n">
        <f aca="false">IF(F25="","",MAX(MIN(F25,$Q$6),$Q$5))</f>
        <v>1.65399875093499</v>
      </c>
      <c r="H25" s="25" t="n">
        <f aca="false">IF(F25="","",F25/SQRT($Q$7))</f>
        <v>0.65511028290723</v>
      </c>
      <c r="I25" s="5" t="n">
        <f aca="false">IF(E25=1,B25/($Q$4*(1-$Q$4)),"")</f>
        <v>627.304996915371</v>
      </c>
      <c r="J25" s="5" t="n">
        <f aca="false">IF(E25=1,I25*(D25-$Q$4)^2,"")</f>
        <v>2.7357118680945</v>
      </c>
      <c r="K25" s="5" t="n">
        <f aca="false">IF(E25=1,I25^2,"")</f>
        <v>393511.559154993</v>
      </c>
      <c r="L25" s="25" t="n">
        <f aca="false">IF(E25=1,(D25-$Q$4)/SQRT($Q$4*(1-$Q$4)/B25+$Q$11),"")</f>
        <v>1.00636442311961</v>
      </c>
      <c r="M25" s="26" t="n">
        <f aca="false">IF(H25="","",NORMSDIST(-H25))</f>
        <v>0.256198375996585</v>
      </c>
      <c r="N25" s="5" t="str">
        <f aca="false">IF(H25="","",IF(H25&gt;$Q$14,"Sim","Não"))</f>
        <v>Não</v>
      </c>
      <c r="O25" s="2"/>
      <c r="P25" s="15" t="s">
        <v>245</v>
      </c>
      <c r="Q25" s="34" t="n">
        <f aca="false">EXP(LN(Q24)-1.959964*SQRT(1/C2-1/B2+1/(SUMIFS(C2:C169,E2:E169,1)-C2)-1/(SUMIFS(B2:B169,E2:E169,1)-B2)))</f>
        <v>5.79460596652414</v>
      </c>
      <c r="R25" s="2"/>
      <c r="S25" s="2"/>
      <c r="T25" s="2"/>
      <c r="U25" s="2"/>
      <c r="V25" s="2"/>
      <c r="W25" s="2"/>
      <c r="X25" s="2"/>
    </row>
    <row r="26" customFormat="false" ht="15" hidden="false" customHeight="false" outlineLevel="0" collapsed="false">
      <c r="A26" s="24" t="str">
        <f aca="false">'Taxa de occisão'!A26</f>
        <v>Aguiar da Beira</v>
      </c>
      <c r="B26" s="24" t="n">
        <f aca="false">'Taxa de occisão'!B26</f>
        <v>55</v>
      </c>
      <c r="C26" s="24" t="n">
        <f aca="false">'Taxa de occisão'!C26</f>
        <v>6</v>
      </c>
      <c r="D26" s="17" t="n">
        <f aca="false">C26/B26</f>
        <v>0.109090909090909</v>
      </c>
      <c r="E26" s="5" t="n">
        <f aca="false">IF(B26&gt;=$Q$2,1,0)</f>
        <v>1</v>
      </c>
      <c r="F26" s="25" t="n">
        <f aca="false">IF(E26=1,(D26-$Q$4)/SQRT($Q$4*(1-$Q$4)/B26),"")</f>
        <v>2.28845048106896</v>
      </c>
      <c r="G26" s="25" t="n">
        <f aca="false">IF(F26="","",MAX(MIN(F26,$Q$6),$Q$5))</f>
        <v>2.28845048106896</v>
      </c>
      <c r="H26" s="25" t="n">
        <f aca="false">IF(F26="","",F26/SQRT($Q$7))</f>
        <v>0.906401798202568</v>
      </c>
      <c r="I26" s="5" t="n">
        <f aca="false">IF(E26=1,B26/($Q$4*(1-$Q$4)),"")</f>
        <v>1277.84351223501</v>
      </c>
      <c r="J26" s="5" t="n">
        <f aca="false">IF(E26=1,I26*(D26-$Q$4)^2,"")</f>
        <v>5.23700560430475</v>
      </c>
      <c r="K26" s="5" t="n">
        <f aca="false">IF(E26=1,I26^2,"")</f>
        <v>1632884.04176112</v>
      </c>
      <c r="L26" s="25" t="n">
        <f aca="false">IF(E26=1,(D26-$Q$4)/SQRT($Q$4*(1-$Q$4)/B26+$Q$11),"")</f>
        <v>1.08295170141362</v>
      </c>
      <c r="M26" s="26" t="n">
        <f aca="false">IF(H26="","",NORMSDIST(-H26))</f>
        <v>0.18236161068598</v>
      </c>
      <c r="N26" s="5" t="str">
        <f aca="false">IF(H26="","",IF(H26&gt;$Q$14,"Sim","Não"))</f>
        <v>Não</v>
      </c>
      <c r="O26" s="2"/>
      <c r="P26" s="15" t="s">
        <v>246</v>
      </c>
      <c r="Q26" s="34" t="n">
        <f aca="false">EXP(LN(Q24)+1.959964*SQRT(1/C2-1/B2+1/(SUMIFS(C2:C169,E2:E169,1)-C2)-1/(SUMIFS(B2:B169,E2:E169,1)-B2)))</f>
        <v>8.46841018594975</v>
      </c>
      <c r="R26" s="2"/>
      <c r="S26" s="2"/>
      <c r="T26" s="2"/>
      <c r="U26" s="2"/>
      <c r="V26" s="2"/>
      <c r="W26" s="2"/>
      <c r="X26" s="2"/>
    </row>
    <row r="27" customFormat="false" ht="15" hidden="false" customHeight="false" outlineLevel="0" collapsed="false">
      <c r="A27" s="24" t="str">
        <f aca="false">'Taxa de occisão'!A27</f>
        <v>Barreiro</v>
      </c>
      <c r="B27" s="24" t="n">
        <f aca="false">'Taxa de occisão'!B27</f>
        <v>312</v>
      </c>
      <c r="C27" s="24" t="n">
        <f aca="false">'Taxa de occisão'!C27</f>
        <v>34</v>
      </c>
      <c r="D27" s="17" t="n">
        <f aca="false">C27/B27</f>
        <v>0.108974358974359</v>
      </c>
      <c r="E27" s="5" t="n">
        <f aca="false">IF(B27&gt;=$Q$2,1,0)</f>
        <v>1</v>
      </c>
      <c r="F27" s="25" t="n">
        <f aca="false">IF(E27=1,(D27-$Q$4)/SQRT($Q$4*(1-$Q$4)/B27),"")</f>
        <v>5.4405910487695</v>
      </c>
      <c r="G27" s="25" t="n">
        <f aca="false">IF(F27="","",MAX(MIN(F27,$Q$6),$Q$5))</f>
        <v>4.51449655176845</v>
      </c>
      <c r="H27" s="25" t="n">
        <f aca="false">IF(F27="","",F27/SQRT($Q$7))</f>
        <v>2.15489107179019</v>
      </c>
      <c r="I27" s="5" t="n">
        <f aca="false">IF(E27=1,B27/($Q$4*(1-$Q$4)),"")</f>
        <v>7248.85774213317</v>
      </c>
      <c r="J27" s="5" t="n">
        <f aca="false">IF(E27=1,I27*(D27-$Q$4)^2,"")</f>
        <v>29.6000309599508</v>
      </c>
      <c r="K27" s="5" t="n">
        <f aca="false">IF(E27=1,I27^2,"")</f>
        <v>52545938.565684</v>
      </c>
      <c r="L27" s="25" t="n">
        <f aca="false">IF(E27=1,(D27-$Q$4)/SQRT($Q$4*(1-$Q$4)/B27+$Q$11),"")</f>
        <v>1.1970060952691</v>
      </c>
      <c r="M27" s="26" t="n">
        <f aca="false">IF(H27="","",NORMSDIST(-H27))</f>
        <v>0.0155851796073304</v>
      </c>
      <c r="N27" s="5" t="str">
        <f aca="false">IF(H27="","",IF(H27&gt;$Q$14,"Sim","Não"))</f>
        <v>Não</v>
      </c>
      <c r="O27" s="2"/>
      <c r="P27" s="32" t="s">
        <v>247</v>
      </c>
      <c r="Q27" s="35" t="n">
        <f aca="false">H2</f>
        <v>7.96604801444325</v>
      </c>
      <c r="R27" s="2"/>
      <c r="S27" s="2"/>
      <c r="T27" s="2"/>
      <c r="U27" s="2"/>
      <c r="V27" s="2"/>
      <c r="W27" s="2"/>
      <c r="X27" s="2"/>
    </row>
    <row r="28" customFormat="false" ht="15" hidden="false" customHeight="false" outlineLevel="0" collapsed="false">
      <c r="A28" s="24" t="str">
        <f aca="false">'Taxa de occisão'!A28</f>
        <v>Cascais</v>
      </c>
      <c r="B28" s="24" t="n">
        <f aca="false">'Taxa de occisão'!B28</f>
        <v>616</v>
      </c>
      <c r="C28" s="24" t="n">
        <f aca="false">'Taxa de occisão'!C28</f>
        <v>65</v>
      </c>
      <c r="D28" s="17" t="n">
        <f aca="false">C28/B28</f>
        <v>0.105519480519481</v>
      </c>
      <c r="E28" s="5" t="n">
        <f aca="false">IF(B28&gt;=$Q$2,1,0)</f>
        <v>1</v>
      </c>
      <c r="F28" s="25" t="n">
        <f aca="false">IF(E28=1,(D28-$Q$4)/SQRT($Q$4*(1-$Q$4)/B28),"")</f>
        <v>7.23136254163828</v>
      </c>
      <c r="G28" s="25" t="n">
        <f aca="false">IF(F28="","",MAX(MIN(F28,$Q$6),$Q$5))</f>
        <v>4.51449655176845</v>
      </c>
      <c r="H28" s="25" t="n">
        <f aca="false">IF(F28="","",F28/SQRT($Q$7))</f>
        <v>2.86417384401254</v>
      </c>
      <c r="I28" s="5" t="n">
        <f aca="false">IF(E28=1,B28/($Q$4*(1-$Q$4)),"")</f>
        <v>14311.8473370322</v>
      </c>
      <c r="J28" s="5" t="n">
        <f aca="false">IF(E28=1,I28*(D28-$Q$4)^2,"")</f>
        <v>52.2926042086092</v>
      </c>
      <c r="K28" s="5" t="n">
        <f aca="false">IF(E28=1,I28^2,"")</f>
        <v>204828974.198515</v>
      </c>
      <c r="L28" s="25" t="n">
        <f aca="false">IF(E28=1,(D28-$Q$4)/SQRT($Q$4*(1-$Q$4)/B28+$Q$11),"")</f>
        <v>1.14606090096836</v>
      </c>
      <c r="M28" s="26" t="n">
        <f aca="false">IF(H28="","",NORMSDIST(-H28))</f>
        <v>0.00209049240036866</v>
      </c>
      <c r="N28" s="5" t="str">
        <f aca="false">IF(H28="","",IF(H28&gt;$Q$14,"Sim","Não"))</f>
        <v>Não</v>
      </c>
      <c r="O28" s="2"/>
      <c r="P28" s="15" t="s">
        <v>248</v>
      </c>
      <c r="Q28" s="36" t="n">
        <f aca="false">NORMSDIST(-Q27)</f>
        <v>8.19146542249048E-016</v>
      </c>
      <c r="R28" s="2"/>
      <c r="S28" s="2"/>
      <c r="T28" s="2"/>
      <c r="U28" s="2"/>
      <c r="V28" s="2"/>
      <c r="W28" s="2"/>
      <c r="X28" s="2"/>
    </row>
    <row r="29" customFormat="false" ht="15" hidden="false" customHeight="false" outlineLevel="0" collapsed="false">
      <c r="A29" s="24" t="str">
        <f aca="false">'Taxa de occisão'!A29</f>
        <v>Ponte de Sor</v>
      </c>
      <c r="B29" s="24" t="n">
        <f aca="false">'Taxa de occisão'!B29</f>
        <v>19</v>
      </c>
      <c r="C29" s="24" t="n">
        <f aca="false">'Taxa de occisão'!C29</f>
        <v>2</v>
      </c>
      <c r="D29" s="17" t="n">
        <f aca="false">C29/B29</f>
        <v>0.105263157894737</v>
      </c>
      <c r="E29" s="5" t="n">
        <f aca="false">IF(B29&gt;=$Q$2,1,0)</f>
        <v>0</v>
      </c>
      <c r="F29" s="25" t="str">
        <f aca="false">IF(E29=1,(D29-$Q$4)/SQRT($Q$4*(1-$Q$4)/B29),"")</f>
        <v/>
      </c>
      <c r="G29" s="25" t="str">
        <f aca="false">IF(F29="","",MAX(MIN(F29,$Q$6),$Q$5))</f>
        <v/>
      </c>
      <c r="H29" s="25" t="str">
        <f aca="false">IF(F29="","",F29/SQRT($Q$7))</f>
        <v/>
      </c>
      <c r="I29" s="5" t="str">
        <f aca="false">IF(E29=1,B29/($Q$4*(1-$Q$4)),"")</f>
        <v/>
      </c>
      <c r="J29" s="5" t="str">
        <f aca="false">IF(E29=1,I29*(D29-$Q$4)^2,"")</f>
        <v/>
      </c>
      <c r="K29" s="5" t="str">
        <f aca="false">IF(E29=1,I29^2,"")</f>
        <v/>
      </c>
      <c r="L29" s="25" t="str">
        <f aca="false">IF(E29=1,(D29-$Q$4)/SQRT($Q$4*(1-$Q$4)/B29+$Q$11),"")</f>
        <v/>
      </c>
      <c r="M29" s="26" t="str">
        <f aca="false">IF(H29="","",NORMSDIST(-H29))</f>
        <v/>
      </c>
      <c r="N29" s="5" t="str">
        <f aca="false">IF(H29="","",IF(H29&gt;$Q$14,"Sim","Não"))</f>
        <v/>
      </c>
      <c r="O29" s="2"/>
      <c r="P29" s="32" t="s">
        <v>249</v>
      </c>
      <c r="Q29" s="35" t="n">
        <f aca="false">L2</f>
        <v>4.82405711894794</v>
      </c>
      <c r="R29" s="2"/>
      <c r="S29" s="2"/>
      <c r="T29" s="2"/>
      <c r="U29" s="2"/>
      <c r="V29" s="2"/>
      <c r="W29" s="2"/>
      <c r="X29" s="2"/>
    </row>
    <row r="30" customFormat="false" ht="15" hidden="false" customHeight="false" outlineLevel="0" collapsed="false">
      <c r="A30" s="24" t="str">
        <f aca="false">'Taxa de occisão'!A30</f>
        <v>Alcobaça</v>
      </c>
      <c r="B30" s="24" t="n">
        <f aca="false">'Taxa de occisão'!B30</f>
        <v>166</v>
      </c>
      <c r="C30" s="24" t="n">
        <f aca="false">'Taxa de occisão'!C30</f>
        <v>17</v>
      </c>
      <c r="D30" s="17" t="n">
        <f aca="false">C30/B30</f>
        <v>0.102409638554217</v>
      </c>
      <c r="E30" s="5" t="n">
        <f aca="false">IF(B30&gt;=$Q$2,1,0)</f>
        <v>1</v>
      </c>
      <c r="F30" s="25" t="n">
        <f aca="false">IF(E30=1,(D30-$Q$4)/SQRT($Q$4*(1-$Q$4)/B30),"")</f>
        <v>3.56077966381396</v>
      </c>
      <c r="G30" s="25" t="n">
        <f aca="false">IF(F30="","",MAX(MIN(F30,$Q$6),$Q$5))</f>
        <v>3.56077966381396</v>
      </c>
      <c r="H30" s="25" t="n">
        <f aca="false">IF(F30="","",F30/SQRT($Q$7))</f>
        <v>1.41034167747275</v>
      </c>
      <c r="I30" s="5" t="n">
        <f aca="false">IF(E30=1,B30/($Q$4*(1-$Q$4)),"")</f>
        <v>3856.76405510932</v>
      </c>
      <c r="J30" s="5" t="n">
        <f aca="false">IF(E30=1,I30*(D30-$Q$4)^2,"")</f>
        <v>12.6791518142311</v>
      </c>
      <c r="K30" s="5" t="n">
        <f aca="false">IF(E30=1,I30^2,"")</f>
        <v>14874628.9767833</v>
      </c>
      <c r="L30" s="25" t="n">
        <f aca="false">IF(E30=1,(D30-$Q$4)/SQRT($Q$4*(1-$Q$4)/B30+$Q$11),"")</f>
        <v>1.05187751164217</v>
      </c>
      <c r="M30" s="26" t="n">
        <f aca="false">IF(H30="","",NORMSDIST(-H30))</f>
        <v>0.0792194088527381</v>
      </c>
      <c r="N30" s="5" t="str">
        <f aca="false">IF(H30="","",IF(H30&gt;$Q$14,"Sim","Não"))</f>
        <v>Não</v>
      </c>
      <c r="O30" s="2"/>
      <c r="P30" s="15" t="s">
        <v>248</v>
      </c>
      <c r="Q30" s="36" t="n">
        <f aca="false">NORMSDIST(-Q29)</f>
        <v>7.0333552440798E-007</v>
      </c>
      <c r="R30" s="2"/>
      <c r="S30" s="2"/>
      <c r="T30" s="2"/>
      <c r="U30" s="2"/>
      <c r="V30" s="2"/>
      <c r="W30" s="2"/>
      <c r="X30" s="2"/>
    </row>
    <row r="31" customFormat="false" ht="15" hidden="false" customHeight="false" outlineLevel="0" collapsed="false">
      <c r="A31" s="24" t="str">
        <f aca="false">'Taxa de occisão'!A31</f>
        <v>Trancoso</v>
      </c>
      <c r="B31" s="24" t="n">
        <f aca="false">'Taxa de occisão'!B31</f>
        <v>147</v>
      </c>
      <c r="C31" s="24" t="n">
        <f aca="false">'Taxa de occisão'!C31</f>
        <v>15</v>
      </c>
      <c r="D31" s="17" t="n">
        <f aca="false">C31/B31</f>
        <v>0.102040816326531</v>
      </c>
      <c r="E31" s="5" t="n">
        <f aca="false">IF(B31&gt;=$Q$2,1,0)</f>
        <v>1</v>
      </c>
      <c r="F31" s="25" t="n">
        <f aca="false">IF(E31=1,(D31-$Q$4)/SQRT($Q$4*(1-$Q$4)/B31),"")</f>
        <v>3.32925512758019</v>
      </c>
      <c r="G31" s="25" t="n">
        <f aca="false">IF(F31="","",MAX(MIN(F31,$Q$6),$Q$5))</f>
        <v>3.32925512758019</v>
      </c>
      <c r="H31" s="25" t="n">
        <f aca="false">IF(F31="","",F31/SQRT($Q$7))</f>
        <v>1.31864021497386</v>
      </c>
      <c r="I31" s="5" t="n">
        <f aca="false">IF(E31=1,B31/($Q$4*(1-$Q$4)),"")</f>
        <v>3415.32720542813</v>
      </c>
      <c r="J31" s="5" t="n">
        <f aca="false">IF(E31=1,I31*(D31-$Q$4)^2,"")</f>
        <v>11.083939704519</v>
      </c>
      <c r="K31" s="5" t="n">
        <f aca="false">IF(E31=1,I31^2,"")</f>
        <v>11664459.9201375</v>
      </c>
      <c r="L31" s="25" t="n">
        <f aca="false">IF(E31=1,(D31-$Q$4)/SQRT($Q$4*(1-$Q$4)/B31+$Q$11),"")</f>
        <v>1.03926666305026</v>
      </c>
      <c r="M31" s="26" t="n">
        <f aca="false">IF(H31="","",NORMSDIST(-H31))</f>
        <v>0.0936447112566721</v>
      </c>
      <c r="N31" s="5" t="str">
        <f aca="false">IF(H31="","",IF(H31&gt;$Q$14,"Sim","Não"))</f>
        <v>Não</v>
      </c>
      <c r="O31" s="2"/>
      <c r="P31" s="15" t="s">
        <v>250</v>
      </c>
      <c r="Q31" s="37" t="str">
        <f aca="false">IF(Q27&gt;Q14,"Sim","Não")</f>
        <v>Sim</v>
      </c>
      <c r="R31" s="2"/>
      <c r="S31" s="2"/>
      <c r="T31" s="2"/>
      <c r="U31" s="2"/>
      <c r="V31" s="2"/>
      <c r="W31" s="2"/>
      <c r="X31" s="2"/>
    </row>
    <row r="32" customFormat="false" ht="15" hidden="false" customHeight="false" outlineLevel="0" collapsed="false">
      <c r="A32" s="24" t="str">
        <f aca="false">'Taxa de occisão'!A32</f>
        <v>Arcos de Valdevez</v>
      </c>
      <c r="B32" s="24" t="n">
        <f aca="false">'Taxa de occisão'!B32</f>
        <v>10</v>
      </c>
      <c r="C32" s="24" t="n">
        <f aca="false">'Taxa de occisão'!C32</f>
        <v>1</v>
      </c>
      <c r="D32" s="17" t="n">
        <f aca="false">C32/B32</f>
        <v>0.1</v>
      </c>
      <c r="E32" s="5" t="n">
        <f aca="false">IF(B32&gt;=$Q$2,1,0)</f>
        <v>0</v>
      </c>
      <c r="F32" s="25" t="str">
        <f aca="false">IF(E32=1,(D32-$Q$4)/SQRT($Q$4*(1-$Q$4)/B32),"")</f>
        <v/>
      </c>
      <c r="G32" s="25" t="str">
        <f aca="false">IF(F32="","",MAX(MIN(F32,$Q$6),$Q$5))</f>
        <v/>
      </c>
      <c r="H32" s="25" t="str">
        <f aca="false">IF(F32="","",F32/SQRT($Q$7))</f>
        <v/>
      </c>
      <c r="I32" s="5" t="str">
        <f aca="false">IF(E32=1,B32/($Q$4*(1-$Q$4)),"")</f>
        <v/>
      </c>
      <c r="J32" s="5" t="str">
        <f aca="false">IF(E32=1,I32*(D32-$Q$4)^2,"")</f>
        <v/>
      </c>
      <c r="K32" s="5" t="str">
        <f aca="false">IF(E32=1,I32^2,"")</f>
        <v/>
      </c>
      <c r="L32" s="25" t="str">
        <f aca="false">IF(E32=1,(D32-$Q$4)/SQRT($Q$4*(1-$Q$4)/B32+$Q$11),"")</f>
        <v/>
      </c>
      <c r="M32" s="26" t="str">
        <f aca="false">IF(H32="","",NORMSDIST(-H32))</f>
        <v/>
      </c>
      <c r="N32" s="5" t="str">
        <f aca="false">IF(H32="","",IF(H32&gt;$Q$14,"Sim","Não"))</f>
        <v/>
      </c>
      <c r="O32" s="2"/>
      <c r="P32" s="15" t="s">
        <v>251</v>
      </c>
      <c r="Q32" s="37" t="str">
        <f aca="false">IF(AND(Q27&gt;Q15,Q29&gt;Q15),"Sim","Não")</f>
        <v>Sim</v>
      </c>
      <c r="R32" s="2"/>
      <c r="S32" s="2"/>
      <c r="T32" s="2"/>
      <c r="U32" s="2"/>
      <c r="V32" s="2"/>
      <c r="W32" s="2"/>
      <c r="X32" s="2"/>
    </row>
    <row r="33" customFormat="false" ht="15" hidden="false" customHeight="false" outlineLevel="0" collapsed="false">
      <c r="A33" s="24" t="str">
        <f aca="false">'Taxa de occisão'!A33</f>
        <v>Óbidos</v>
      </c>
      <c r="B33" s="24" t="n">
        <f aca="false">'Taxa de occisão'!B33</f>
        <v>30</v>
      </c>
      <c r="C33" s="24" t="n">
        <f aca="false">'Taxa de occisão'!C33</f>
        <v>3</v>
      </c>
      <c r="D33" s="17" t="n">
        <f aca="false">C33/B33</f>
        <v>0.1</v>
      </c>
      <c r="E33" s="5" t="n">
        <f aca="false">IF(B33&gt;=$Q$2,1,0)</f>
        <v>1</v>
      </c>
      <c r="F33" s="25" t="n">
        <f aca="false">IF(E33=1,(D33-$Q$4)/SQRT($Q$4*(1-$Q$4)/B33),"")</f>
        <v>1.45012484761377</v>
      </c>
      <c r="G33" s="25" t="n">
        <f aca="false">IF(F33="","",MAX(MIN(F33,$Q$6),$Q$5))</f>
        <v>1.45012484761377</v>
      </c>
      <c r="H33" s="25" t="n">
        <f aca="false">IF(F33="","",F33/SQRT($Q$7))</f>
        <v>0.574360590438197</v>
      </c>
      <c r="I33" s="5" t="n">
        <f aca="false">IF(E33=1,B33/($Q$4*(1-$Q$4)),"")</f>
        <v>697.00555212819</v>
      </c>
      <c r="J33" s="5" t="n">
        <f aca="false">IF(E33=1,I33*(D33-$Q$4)^2,"")</f>
        <v>2.10286207366685</v>
      </c>
      <c r="K33" s="5" t="n">
        <f aca="false">IF(E33=1,I33^2,"")</f>
        <v>485816.739697523</v>
      </c>
      <c r="L33" s="25" t="n">
        <f aca="false">IF(E33=1,(D33-$Q$4)/SQRT($Q$4*(1-$Q$4)/B33+$Q$11),"")</f>
        <v>0.852978698942481</v>
      </c>
      <c r="M33" s="26" t="n">
        <f aca="false">IF(H33="","",NORMSDIST(-H33))</f>
        <v>0.28286190774848</v>
      </c>
      <c r="N33" s="5" t="str">
        <f aca="false">IF(H33="","",IF(H33&gt;$Q$14,"Sim","Não"))</f>
        <v>Não</v>
      </c>
      <c r="O33" s="2"/>
      <c r="P33" s="15" t="s">
        <v>252</v>
      </c>
      <c r="Q33" s="8" t="n">
        <f aca="false">1+COUNTIF(H3:H169,"&gt;"&amp;H2)</f>
        <v>1</v>
      </c>
      <c r="R33" s="2"/>
      <c r="S33" s="2"/>
      <c r="T33" s="2"/>
      <c r="U33" s="2"/>
      <c r="V33" s="2"/>
      <c r="W33" s="2"/>
      <c r="X33" s="2"/>
    </row>
    <row r="34" customFormat="false" ht="15" hidden="false" customHeight="false" outlineLevel="0" collapsed="false">
      <c r="A34" s="24" t="str">
        <f aca="false">'Taxa de occisão'!A34</f>
        <v>Sabrosa</v>
      </c>
      <c r="B34" s="24" t="n">
        <f aca="false">'Taxa de occisão'!B34</f>
        <v>62</v>
      </c>
      <c r="C34" s="24" t="n">
        <f aca="false">'Taxa de occisão'!C34</f>
        <v>6</v>
      </c>
      <c r="D34" s="17" t="n">
        <f aca="false">C34/B34</f>
        <v>0.0967741935483871</v>
      </c>
      <c r="E34" s="5" t="n">
        <f aca="false">IF(B34&gt;=$Q$2,1,0)</f>
        <v>1</v>
      </c>
      <c r="F34" s="25" t="n">
        <f aca="false">IF(E34=1,(D34-$Q$4)/SQRT($Q$4*(1-$Q$4)/B34),"")</f>
        <v>1.96225474696655</v>
      </c>
      <c r="G34" s="25" t="n">
        <f aca="false">IF(F34="","",MAX(MIN(F34,$Q$6),$Q$5))</f>
        <v>1.96225474696655</v>
      </c>
      <c r="H34" s="25" t="n">
        <f aca="false">IF(F34="","",F34/SQRT($Q$7))</f>
        <v>0.777203284884367</v>
      </c>
      <c r="I34" s="5" t="n">
        <f aca="false">IF(E34=1,B34/($Q$4*(1-$Q$4)),"")</f>
        <v>1440.47814106493</v>
      </c>
      <c r="J34" s="5" t="n">
        <f aca="false">IF(E34=1,I34*(D34-$Q$4)^2,"")</f>
        <v>3.85044369199275</v>
      </c>
      <c r="K34" s="5" t="n">
        <f aca="false">IF(E34=1,I34^2,"")</f>
        <v>2074977.27488586</v>
      </c>
      <c r="L34" s="25" t="n">
        <f aca="false">IF(E34=1,(D34-$Q$4)/SQRT($Q$4*(1-$Q$4)/B34+$Q$11),"")</f>
        <v>0.885868692934621</v>
      </c>
      <c r="M34" s="26" t="n">
        <f aca="false">IF(H34="","",NORMSDIST(-H34))</f>
        <v>0.218519422246469</v>
      </c>
      <c r="N34" s="5" t="str">
        <f aca="false">IF(H34="","",IF(H34&gt;$Q$14,"Sim","Não"))</f>
        <v>Não</v>
      </c>
      <c r="O34" s="2"/>
      <c r="P34" s="15" t="s">
        <v>253</v>
      </c>
      <c r="Q34" s="8" t="n">
        <f aca="false">1+COUNTIF(L3:L169,"&gt;"&amp;L2)</f>
        <v>3</v>
      </c>
      <c r="R34" s="2"/>
      <c r="S34" s="2"/>
      <c r="T34" s="2"/>
      <c r="U34" s="2"/>
      <c r="V34" s="2"/>
      <c r="W34" s="2"/>
      <c r="X34" s="2"/>
    </row>
    <row r="35" customFormat="false" ht="15" hidden="false" customHeight="false" outlineLevel="0" collapsed="false">
      <c r="A35" s="24" t="str">
        <f aca="false">'Taxa de occisão'!A35</f>
        <v>Santa Marta de Penaguião</v>
      </c>
      <c r="B35" s="24" t="n">
        <f aca="false">'Taxa de occisão'!B35</f>
        <v>31</v>
      </c>
      <c r="C35" s="24" t="n">
        <f aca="false">'Taxa de occisão'!C35</f>
        <v>3</v>
      </c>
      <c r="D35" s="17" t="n">
        <f aca="false">C35/B35</f>
        <v>0.0967741935483871</v>
      </c>
      <c r="E35" s="5" t="n">
        <f aca="false">IF(B35&gt;=$Q$2,1,0)</f>
        <v>1</v>
      </c>
      <c r="F35" s="25" t="n">
        <f aca="false">IF(E35=1,(D35-$Q$4)/SQRT($Q$4*(1-$Q$4)/B35),"")</f>
        <v>1.38752363799554</v>
      </c>
      <c r="G35" s="25" t="n">
        <f aca="false">IF(F35="","",MAX(MIN(F35,$Q$6),$Q$5))</f>
        <v>1.38752363799554</v>
      </c>
      <c r="H35" s="25" t="n">
        <f aca="false">IF(F35="","",F35/SQRT($Q$7))</f>
        <v>0.549565713102196</v>
      </c>
      <c r="I35" s="5" t="n">
        <f aca="false">IF(E35=1,B35/($Q$4*(1-$Q$4)),"")</f>
        <v>720.239070532463</v>
      </c>
      <c r="J35" s="5" t="n">
        <f aca="false">IF(E35=1,I35*(D35-$Q$4)^2,"")</f>
        <v>1.92522184599638</v>
      </c>
      <c r="K35" s="5" t="n">
        <f aca="false">IF(E35=1,I35^2,"")</f>
        <v>518744.318721466</v>
      </c>
      <c r="L35" s="25" t="n">
        <f aca="false">IF(E35=1,(D35-$Q$4)/SQRT($Q$4*(1-$Q$4)/B35+$Q$11),"")</f>
        <v>0.807402656015203</v>
      </c>
      <c r="M35" s="26" t="n">
        <f aca="false">IF(H35="","",NORMSDIST(-H35))</f>
        <v>0.291308640595263</v>
      </c>
      <c r="N35" s="5" t="str">
        <f aca="false">IF(H35="","",IF(H35&gt;$Q$14,"Sim","Não"))</f>
        <v>Não</v>
      </c>
      <c r="O35" s="2"/>
      <c r="P35" s="13" t="s">
        <v>254</v>
      </c>
      <c r="Q35" s="31"/>
      <c r="R35" s="2"/>
      <c r="S35" s="2"/>
      <c r="T35" s="2"/>
      <c r="U35" s="2"/>
      <c r="V35" s="2"/>
      <c r="W35" s="2"/>
      <c r="X35" s="2"/>
    </row>
    <row r="36" customFormat="false" ht="15" hidden="false" customHeight="false" outlineLevel="0" collapsed="false">
      <c r="A36" s="24" t="str">
        <f aca="false">'Taxa de occisão'!A36</f>
        <v>Mourão</v>
      </c>
      <c r="B36" s="24" t="n">
        <f aca="false">'Taxa de occisão'!B36</f>
        <v>63</v>
      </c>
      <c r="C36" s="24" t="n">
        <f aca="false">'Taxa de occisão'!C36</f>
        <v>6</v>
      </c>
      <c r="D36" s="17" t="n">
        <f aca="false">C36/B36</f>
        <v>0.0952380952380952</v>
      </c>
      <c r="E36" s="5" t="n">
        <f aca="false">IF(B36&gt;=$Q$2,1,0)</f>
        <v>1</v>
      </c>
      <c r="F36" s="25" t="n">
        <f aca="false">IF(E36=1,(D36-$Q$4)/SQRT($Q$4*(1-$Q$4)/B36),"")</f>
        <v>1.91924728860852</v>
      </c>
      <c r="G36" s="25" t="n">
        <f aca="false">IF(F36="","",MAX(MIN(F36,$Q$6),$Q$5))</f>
        <v>1.91924728860852</v>
      </c>
      <c r="H36" s="25" t="n">
        <f aca="false">IF(F36="","",F36/SQRT($Q$7))</f>
        <v>0.760169034891057</v>
      </c>
      <c r="I36" s="5" t="n">
        <f aca="false">IF(E36=1,B36/($Q$4*(1-$Q$4)),"")</f>
        <v>1463.7116594692</v>
      </c>
      <c r="J36" s="5" t="n">
        <f aca="false">IF(E36=1,I36*(D36-$Q$4)^2,"")</f>
        <v>3.68351015483116</v>
      </c>
      <c r="K36" s="5" t="n">
        <f aca="false">IF(E36=1,I36^2,"")</f>
        <v>2142451.82206607</v>
      </c>
      <c r="L36" s="25" t="n">
        <f aca="false">IF(E36=1,(D36-$Q$4)/SQRT($Q$4*(1-$Q$4)/B36+$Q$11),"")</f>
        <v>0.860942411475989</v>
      </c>
      <c r="M36" s="26" t="n">
        <f aca="false">IF(H36="","",NORMSDIST(-H36))</f>
        <v>0.223576775818206</v>
      </c>
      <c r="N36" s="5" t="str">
        <f aca="false">IF(H36="","",IF(H36&gt;$Q$14,"Sim","Não"))</f>
        <v>Não</v>
      </c>
      <c r="O36" s="2"/>
      <c r="P36" s="15" t="s">
        <v>255</v>
      </c>
      <c r="Q36" s="34" t="n">
        <f aca="false">((97/259)-Q4)/SQRT(Q4*(1-Q4)/259)/SQRT(Q7)</f>
        <v>10.1220607944466</v>
      </c>
      <c r="R36" s="2"/>
      <c r="S36" s="2"/>
      <c r="T36" s="2"/>
      <c r="U36" s="2"/>
      <c r="V36" s="2"/>
      <c r="W36" s="2"/>
      <c r="X36" s="2"/>
    </row>
    <row r="37" customFormat="false" ht="15" hidden="false" customHeight="false" outlineLevel="0" collapsed="false">
      <c r="A37" s="24" t="str">
        <f aca="false">'Taxa de occisão'!A37</f>
        <v>Amadora</v>
      </c>
      <c r="B37" s="24" t="n">
        <f aca="false">'Taxa de occisão'!B37</f>
        <v>141</v>
      </c>
      <c r="C37" s="24" t="n">
        <f aca="false">'Taxa de occisão'!C37</f>
        <v>13</v>
      </c>
      <c r="D37" s="17" t="n">
        <f aca="false">C37/B37</f>
        <v>0.0921985815602837</v>
      </c>
      <c r="E37" s="5" t="n">
        <f aca="false">IF(B37&gt;=$Q$2,1,0)</f>
        <v>1</v>
      </c>
      <c r="F37" s="25" t="n">
        <f aca="false">IF(E37=1,(D37-$Q$4)/SQRT($Q$4*(1-$Q$4)/B37),"")</f>
        <v>2.69727605867806</v>
      </c>
      <c r="G37" s="25" t="n">
        <f aca="false">IF(F37="","",MAX(MIN(F37,$Q$6),$Q$5))</f>
        <v>2.69727605867806</v>
      </c>
      <c r="H37" s="25" t="n">
        <f aca="false">IF(F37="","",F37/SQRT($Q$7))</f>
        <v>1.06832806305362</v>
      </c>
      <c r="I37" s="5" t="n">
        <f aca="false">IF(E37=1,B37/($Q$4*(1-$Q$4)),"")</f>
        <v>3275.92609500249</v>
      </c>
      <c r="J37" s="5" t="n">
        <f aca="false">IF(E37=1,I37*(D37-$Q$4)^2,"")</f>
        <v>7.27529813671787</v>
      </c>
      <c r="K37" s="5" t="n">
        <f aca="false">IF(E37=1,I37^2,"")</f>
        <v>10731691.7799183</v>
      </c>
      <c r="L37" s="25" t="n">
        <f aca="false">IF(E37=1,(D37-$Q$4)/SQRT($Q$4*(1-$Q$4)/B37+$Q$11),"")</f>
        <v>0.857937926812324</v>
      </c>
      <c r="M37" s="26" t="n">
        <f aca="false">IF(H37="","",NORMSDIST(-H37))</f>
        <v>0.142686276984827</v>
      </c>
      <c r="N37" s="5" t="str">
        <f aca="false">IF(H37="","",IF(H37&gt;$Q$14,"Sim","Não"))</f>
        <v>Não</v>
      </c>
      <c r="O37" s="2"/>
      <c r="P37" s="15" t="s">
        <v>256</v>
      </c>
      <c r="Q37" s="34" t="n">
        <f aca="false">('Composição CIRAE'!C4/'Composição CIRAE'!B4-Q4)/SQRT(Q4*(1-Q4)/'Composição CIRAE'!B4)/SQRT(Q7)</f>
        <v>5.16637252513749</v>
      </c>
      <c r="R37" s="2"/>
      <c r="S37" s="2"/>
      <c r="T37" s="2"/>
      <c r="U37" s="2"/>
      <c r="V37" s="2"/>
      <c r="W37" s="2"/>
      <c r="X37" s="2"/>
    </row>
    <row r="38" customFormat="false" ht="15" hidden="false" customHeight="false" outlineLevel="0" collapsed="false">
      <c r="A38" s="24" t="str">
        <f aca="false">'Taxa de occisão'!A38</f>
        <v>Porto de Mós</v>
      </c>
      <c r="B38" s="24" t="n">
        <f aca="false">'Taxa de occisão'!B38</f>
        <v>33</v>
      </c>
      <c r="C38" s="24" t="n">
        <f aca="false">'Taxa de occisão'!C38</f>
        <v>3</v>
      </c>
      <c r="D38" s="17" t="n">
        <f aca="false">C38/B38</f>
        <v>0.0909090909090909</v>
      </c>
      <c r="E38" s="5" t="n">
        <f aca="false">IF(B38&gt;=$Q$2,1,0)</f>
        <v>1</v>
      </c>
      <c r="F38" s="25" t="n">
        <f aca="false">IF(E38=1,(D38-$Q$4)/SQRT($Q$4*(1-$Q$4)/B38),"")</f>
        <v>1.26918142189734</v>
      </c>
      <c r="G38" s="25" t="n">
        <f aca="false">IF(F38="","",MAX(MIN(F38,$Q$6),$Q$5))</f>
        <v>1.26918142189734</v>
      </c>
      <c r="H38" s="25" t="n">
        <f aca="false">IF(F38="","",F38/SQRT($Q$7))</f>
        <v>0.502693124701426</v>
      </c>
      <c r="I38" s="5" t="n">
        <f aca="false">IF(E38=1,B38/($Q$4*(1-$Q$4)),"")</f>
        <v>766.706107341009</v>
      </c>
      <c r="J38" s="5" t="n">
        <f aca="false">IF(E38=1,I38*(D38-$Q$4)^2,"")</f>
        <v>1.61082148168934</v>
      </c>
      <c r="K38" s="5" t="n">
        <f aca="false">IF(E38=1,I38^2,"")</f>
        <v>587838.255034003</v>
      </c>
      <c r="L38" s="25" t="n">
        <f aca="false">IF(E38=1,(D38-$Q$4)/SQRT($Q$4*(1-$Q$4)/B38+$Q$11),"")</f>
        <v>0.723269216230363</v>
      </c>
      <c r="M38" s="26" t="n">
        <f aca="false">IF(H38="","",NORMSDIST(-H38))</f>
        <v>0.307590022131983</v>
      </c>
      <c r="N38" s="5" t="str">
        <f aca="false">IF(H38="","",IF(H38&gt;$Q$14,"Sim","Não"))</f>
        <v>Não</v>
      </c>
      <c r="O38" s="2"/>
      <c r="P38" s="15" t="s">
        <v>257</v>
      </c>
      <c r="Q38" s="34" t="n">
        <f aca="false">('Composição CIRAE'!C2/'Composição CIRAE'!B2-Q4)/SQRT(Q4*(1-Q4)/'Composição CIRAE'!B2)/SQRT(Q7)</f>
        <v>5.02524603492851</v>
      </c>
      <c r="R38" s="2"/>
      <c r="S38" s="2"/>
      <c r="T38" s="2"/>
      <c r="U38" s="2"/>
      <c r="V38" s="2"/>
      <c r="W38" s="2"/>
      <c r="X38" s="2"/>
    </row>
    <row r="39" customFormat="false" ht="15" hidden="false" customHeight="false" outlineLevel="0" collapsed="false">
      <c r="A39" s="24" t="str">
        <f aca="false">'Taxa de occisão'!A39</f>
        <v>Abrantes</v>
      </c>
      <c r="B39" s="24" t="n">
        <f aca="false">'Taxa de occisão'!B39</f>
        <v>243</v>
      </c>
      <c r="C39" s="24" t="n">
        <f aca="false">'Taxa de occisão'!C39</f>
        <v>22</v>
      </c>
      <c r="D39" s="17" t="n">
        <f aca="false">C39/B39</f>
        <v>0.0905349794238683</v>
      </c>
      <c r="E39" s="5" t="n">
        <f aca="false">IF(B39&gt;=$Q$2,1,0)</f>
        <v>1</v>
      </c>
      <c r="F39" s="25" t="n">
        <f aca="false">IF(E39=1,(D39-$Q$4)/SQRT($Q$4*(1-$Q$4)/B39),"")</f>
        <v>3.41594331993963</v>
      </c>
      <c r="G39" s="25" t="n">
        <f aca="false">IF(F39="","",MAX(MIN(F39,$Q$6),$Q$5))</f>
        <v>3.41594331993963</v>
      </c>
      <c r="H39" s="25" t="n">
        <f aca="false">IF(F39="","",F39/SQRT($Q$7))</f>
        <v>1.35297538372124</v>
      </c>
      <c r="I39" s="5" t="n">
        <f aca="false">IF(E39=1,B39/($Q$4*(1-$Q$4)),"")</f>
        <v>5645.74497223834</v>
      </c>
      <c r="J39" s="5" t="n">
        <f aca="false">IF(E39=1,I39*(D39-$Q$4)^2,"")</f>
        <v>11.6686687650402</v>
      </c>
      <c r="K39" s="5" t="n">
        <f aca="false">IF(E39=1,I39^2,"")</f>
        <v>31874436.2915545</v>
      </c>
      <c r="L39" s="25" t="n">
        <f aca="false">IF(E39=1,(D39-$Q$4)/SQRT($Q$4*(1-$Q$4)/B39+$Q$11),"")</f>
        <v>0.845805961834879</v>
      </c>
      <c r="M39" s="26" t="n">
        <f aca="false">IF(H39="","",NORMSDIST(-H39))</f>
        <v>0.0880317473208635</v>
      </c>
      <c r="N39" s="5" t="str">
        <f aca="false">IF(H39="","",IF(H39&gt;$Q$14,"Sim","Não"))</f>
        <v>Não</v>
      </c>
      <c r="O39" s="2"/>
      <c r="P39" s="15" t="s">
        <v>258</v>
      </c>
      <c r="Q39" s="34" t="n">
        <f aca="false">('Composição CIRAE'!C3/'Composição CIRAE'!B3-Q4)/SQRT(Q4*(1-Q4)/'Composição CIRAE'!B3)/SQRT(Q7)</f>
        <v>4.32202890069109</v>
      </c>
      <c r="R39" s="2"/>
      <c r="S39" s="2"/>
      <c r="T39" s="2"/>
      <c r="U39" s="2"/>
      <c r="V39" s="2"/>
      <c r="W39" s="2"/>
      <c r="X39" s="2"/>
    </row>
    <row r="40" customFormat="false" ht="15" hidden="false" customHeight="false" outlineLevel="0" collapsed="false">
      <c r="A40" s="24" t="str">
        <f aca="false">'Taxa de occisão'!A40</f>
        <v>Alpiarça</v>
      </c>
      <c r="B40" s="24" t="n">
        <f aca="false">'Taxa de occisão'!B40</f>
        <v>91</v>
      </c>
      <c r="C40" s="24" t="n">
        <f aca="false">'Taxa de occisão'!C40</f>
        <v>8</v>
      </c>
      <c r="D40" s="17" t="n">
        <f aca="false">C40/B40</f>
        <v>0.0879120879120879</v>
      </c>
      <c r="E40" s="5" t="n">
        <f aca="false">IF(B40&gt;=$Q$2,1,0)</f>
        <v>1</v>
      </c>
      <c r="F40" s="25" t="n">
        <f aca="false">IF(E40=1,(D40-$Q$4)/SQRT($Q$4*(1-$Q$4)/B40),"")</f>
        <v>1.96979120109504</v>
      </c>
      <c r="G40" s="25" t="n">
        <f aca="false">IF(F40="","",MAX(MIN(F40,$Q$6),$Q$5))</f>
        <v>1.96979120109504</v>
      </c>
      <c r="H40" s="25" t="n">
        <f aca="false">IF(F40="","",F40/SQRT($Q$7))</f>
        <v>0.780188298381774</v>
      </c>
      <c r="I40" s="5" t="n">
        <f aca="false">IF(E40=1,B40/($Q$4*(1-$Q$4)),"")</f>
        <v>2114.25017478884</v>
      </c>
      <c r="J40" s="5" t="n">
        <f aca="false">IF(E40=1,I40*(D40-$Q$4)^2,"")</f>
        <v>3.88007737591146</v>
      </c>
      <c r="K40" s="5" t="n">
        <f aca="false">IF(E40=1,I40^2,"")</f>
        <v>4470053.80159465</v>
      </c>
      <c r="L40" s="25" t="n">
        <f aca="false">IF(E40=1,(D40-$Q$4)/SQRT($Q$4*(1-$Q$4)/B40+$Q$11),"")</f>
        <v>0.759087913968316</v>
      </c>
      <c r="M40" s="26" t="n">
        <f aca="false">IF(H40="","",NORMSDIST(-H40))</f>
        <v>0.217640024494639</v>
      </c>
      <c r="N40" s="5" t="str">
        <f aca="false">IF(H40="","",IF(H40&gt;$Q$14,"Sim","Não"))</f>
        <v>Não</v>
      </c>
      <c r="O40" s="2"/>
      <c r="P40" s="2"/>
      <c r="Q40" s="2"/>
      <c r="R40" s="2"/>
      <c r="S40" s="2"/>
      <c r="T40" s="2"/>
      <c r="U40" s="2"/>
      <c r="V40" s="2"/>
      <c r="W40" s="2"/>
      <c r="X40" s="2"/>
    </row>
    <row r="41" customFormat="false" ht="15" hidden="false" customHeight="false" outlineLevel="0" collapsed="false">
      <c r="A41" s="24" t="str">
        <f aca="false">'Taxa de occisão'!A41</f>
        <v>Chaves</v>
      </c>
      <c r="B41" s="24" t="n">
        <f aca="false">'Taxa de occisão'!B41</f>
        <v>200</v>
      </c>
      <c r="C41" s="24" t="n">
        <f aca="false">'Taxa de occisão'!C41</f>
        <v>17</v>
      </c>
      <c r="D41" s="17" t="n">
        <f aca="false">C41/B41</f>
        <v>0.085</v>
      </c>
      <c r="E41" s="5" t="n">
        <f aca="false">IF(B41&gt;=$Q$2,1,0)</f>
        <v>1</v>
      </c>
      <c r="F41" s="25" t="n">
        <f aca="false">IF(E41=1,(D41-$Q$4)/SQRT($Q$4*(1-$Q$4)/B41),"")</f>
        <v>2.72170524025602</v>
      </c>
      <c r="G41" s="25" t="n">
        <f aca="false">IF(F41="","",MAX(MIN(F41,$Q$6),$Q$5))</f>
        <v>2.72170524025602</v>
      </c>
      <c r="H41" s="25" t="n">
        <f aca="false">IF(F41="","",F41/SQRT($Q$7))</f>
        <v>1.07800389143359</v>
      </c>
      <c r="I41" s="5" t="n">
        <f aca="false">IF(E41=1,B41/($Q$4*(1-$Q$4)),"")</f>
        <v>4646.7036808546</v>
      </c>
      <c r="J41" s="5" t="n">
        <f aca="false">IF(E41=1,I41*(D41-$Q$4)^2,"")</f>
        <v>7.40767941483706</v>
      </c>
      <c r="K41" s="5" t="n">
        <f aca="false">IF(E41=1,I41^2,"")</f>
        <v>21591855.0976677</v>
      </c>
      <c r="L41" s="25" t="n">
        <f aca="false">IF(E41=1,(D41-$Q$4)/SQRT($Q$4*(1-$Q$4)/B41+$Q$11),"")</f>
        <v>0.737981932229659</v>
      </c>
      <c r="M41" s="26" t="n">
        <f aca="false">IF(H41="","",NORMSDIST(-H41))</f>
        <v>0.140516009755654</v>
      </c>
      <c r="N41" s="5" t="str">
        <f aca="false">IF(H41="","",IF(H41&gt;$Q$14,"Sim","Não"))</f>
        <v>Não</v>
      </c>
      <c r="O41" s="2"/>
      <c r="P41" s="2"/>
      <c r="Q41" s="2"/>
      <c r="R41" s="2"/>
      <c r="S41" s="2"/>
      <c r="T41" s="2"/>
      <c r="U41" s="2"/>
      <c r="V41" s="2"/>
      <c r="W41" s="2"/>
      <c r="X41" s="2"/>
    </row>
    <row r="42" customFormat="false" ht="15" hidden="false" customHeight="false" outlineLevel="0" collapsed="false">
      <c r="A42" s="24" t="str">
        <f aca="false">'Taxa de occisão'!A42</f>
        <v>Ponte de Lima</v>
      </c>
      <c r="B42" s="24" t="n">
        <f aca="false">'Taxa de occisão'!B42</f>
        <v>59</v>
      </c>
      <c r="C42" s="24" t="n">
        <f aca="false">'Taxa de occisão'!C42</f>
        <v>5</v>
      </c>
      <c r="D42" s="17" t="n">
        <f aca="false">C42/B42</f>
        <v>0.0847457627118644</v>
      </c>
      <c r="E42" s="5" t="n">
        <f aca="false">IF(B42&gt;=$Q$2,1,0)</f>
        <v>1</v>
      </c>
      <c r="F42" s="25" t="n">
        <f aca="false">IF(E42=1,(D42-$Q$4)/SQRT($Q$4*(1-$Q$4)/B42),"")</f>
        <v>1.46885144450935</v>
      </c>
      <c r="G42" s="25" t="n">
        <f aca="false">IF(F42="","",MAX(MIN(F42,$Q$6),$Q$5))</f>
        <v>1.46885144450935</v>
      </c>
      <c r="H42" s="25" t="n">
        <f aca="false">IF(F42="","",F42/SQRT($Q$7))</f>
        <v>0.581777758185888</v>
      </c>
      <c r="I42" s="5" t="n">
        <f aca="false">IF(E42=1,B42/($Q$4*(1-$Q$4)),"")</f>
        <v>1370.77758585211</v>
      </c>
      <c r="J42" s="5" t="n">
        <f aca="false">IF(E42=1,I42*(D42-$Q$4)^2,"")</f>
        <v>2.15752456603721</v>
      </c>
      <c r="K42" s="5" t="n">
        <f aca="false">IF(E42=1,I42^2,"")</f>
        <v>1879031.18987453</v>
      </c>
      <c r="L42" s="25" t="n">
        <f aca="false">IF(E42=1,(D42-$Q$4)/SQRT($Q$4*(1-$Q$4)/B42+$Q$11),"")</f>
        <v>0.676274329140734</v>
      </c>
      <c r="M42" s="26" t="n">
        <f aca="false">IF(H42="","",NORMSDIST(-H42))</f>
        <v>0.280358193735801</v>
      </c>
      <c r="N42" s="5" t="str">
        <f aca="false">IF(H42="","",IF(H42&gt;$Q$14,"Sim","Não"))</f>
        <v>Não</v>
      </c>
      <c r="O42" s="2"/>
      <c r="P42" s="2"/>
      <c r="Q42" s="2"/>
      <c r="R42" s="2"/>
      <c r="S42" s="2"/>
      <c r="T42" s="2"/>
      <c r="U42" s="2"/>
      <c r="V42" s="2"/>
      <c r="W42" s="2"/>
      <c r="X42" s="2"/>
    </row>
    <row r="43" customFormat="false" ht="15" hidden="false" customHeight="false" outlineLevel="0" collapsed="false">
      <c r="A43" s="24" t="str">
        <f aca="false">'Taxa de occisão'!A43</f>
        <v>Serpa</v>
      </c>
      <c r="B43" s="24" t="n">
        <f aca="false">'Taxa de occisão'!B43</f>
        <v>71</v>
      </c>
      <c r="C43" s="24" t="n">
        <f aca="false">'Taxa de occisão'!C43</f>
        <v>6</v>
      </c>
      <c r="D43" s="17" t="n">
        <f aca="false">C43/B43</f>
        <v>0.0845070422535211</v>
      </c>
      <c r="E43" s="5" t="n">
        <f aca="false">IF(B43&gt;=$Q$2,1,0)</f>
        <v>1</v>
      </c>
      <c r="F43" s="25" t="n">
        <f aca="false">IF(E43=1,(D43-$Q$4)/SQRT($Q$4*(1-$Q$4)/B43),"")</f>
        <v>1.60162156481283</v>
      </c>
      <c r="G43" s="25" t="n">
        <f aca="false">IF(F43="","",MAX(MIN(F43,$Q$6),$Q$5))</f>
        <v>1.60162156481283</v>
      </c>
      <c r="H43" s="25" t="n">
        <f aca="false">IF(F43="","",F43/SQRT($Q$7))</f>
        <v>0.634364902538004</v>
      </c>
      <c r="I43" s="5" t="n">
        <f aca="false">IF(E43=1,B43/($Q$4*(1-$Q$4)),"")</f>
        <v>1649.57980670338</v>
      </c>
      <c r="J43" s="5" t="n">
        <f aca="false">IF(E43=1,I43*(D43-$Q$4)^2,"")</f>
        <v>2.56519163687349</v>
      </c>
      <c r="K43" s="5" t="n">
        <f aca="false">IF(E43=1,I43^2,"")</f>
        <v>2721113.53868357</v>
      </c>
      <c r="L43" s="25" t="n">
        <f aca="false">IF(E43=1,(D43-$Q$4)/SQRT($Q$4*(1-$Q$4)/B43+$Q$11),"")</f>
        <v>0.684580194515191</v>
      </c>
      <c r="M43" s="26" t="n">
        <f aca="false">IF(H43="","",NORMSDIST(-H43))</f>
        <v>0.262921354568329</v>
      </c>
      <c r="N43" s="5" t="str">
        <f aca="false">IF(H43="","",IF(H43&gt;$Q$14,"Sim","Não"))</f>
        <v>Não</v>
      </c>
      <c r="O43" s="2"/>
      <c r="P43" s="2"/>
      <c r="Q43" s="2"/>
      <c r="R43" s="2"/>
      <c r="S43" s="2"/>
      <c r="T43" s="2"/>
      <c r="U43" s="2"/>
      <c r="V43" s="2"/>
      <c r="W43" s="2"/>
      <c r="X43" s="2"/>
    </row>
    <row r="44" customFormat="false" ht="15" hidden="false" customHeight="false" outlineLevel="0" collapsed="false">
      <c r="A44" s="24" t="str">
        <f aca="false">'Taxa de occisão'!A44</f>
        <v>Viana do Castelo</v>
      </c>
      <c r="B44" s="24" t="n">
        <f aca="false">'Taxa de occisão'!B44</f>
        <v>323</v>
      </c>
      <c r="C44" s="24" t="n">
        <f aca="false">'Taxa de occisão'!C44</f>
        <v>27</v>
      </c>
      <c r="D44" s="17" t="n">
        <f aca="false">C44/B44</f>
        <v>0.0835913312693498</v>
      </c>
      <c r="E44" s="5" t="n">
        <f aca="false">IF(B44&gt;=$Q$2,1,0)</f>
        <v>1</v>
      </c>
      <c r="F44" s="25" t="n">
        <f aca="false">IF(E44=1,(D44-$Q$4)/SQRT($Q$4*(1-$Q$4)/B44),"")</f>
        <v>3.33678486651236</v>
      </c>
      <c r="G44" s="25" t="n">
        <f aca="false">IF(F44="","",MAX(MIN(F44,$Q$6),$Q$5))</f>
        <v>3.33678486651236</v>
      </c>
      <c r="H44" s="25" t="n">
        <f aca="false">IF(F44="","",F44/SQRT($Q$7))</f>
        <v>1.32162256873881</v>
      </c>
      <c r="I44" s="5" t="n">
        <f aca="false">IF(E44=1,B44/($Q$4*(1-$Q$4)),"")</f>
        <v>7504.42644458018</v>
      </c>
      <c r="J44" s="5" t="n">
        <f aca="false">IF(E44=1,I44*(D44-$Q$4)^2,"")</f>
        <v>11.1341332453859</v>
      </c>
      <c r="K44" s="5" t="n">
        <f aca="false">IF(E44=1,I44^2,"")</f>
        <v>56316416.2621143</v>
      </c>
      <c r="L44" s="25" t="n">
        <f aca="false">IF(E44=1,(D44-$Q$4)/SQRT($Q$4*(1-$Q$4)/B44+$Q$11),"")</f>
        <v>0.722125674668853</v>
      </c>
      <c r="M44" s="26" t="n">
        <f aca="false">IF(H44="","",NORMSDIST(-H44))</f>
        <v>0.0931469321499045</v>
      </c>
      <c r="N44" s="5" t="str">
        <f aca="false">IF(H44="","",IF(H44&gt;$Q$14,"Sim","Não"))</f>
        <v>Não</v>
      </c>
      <c r="O44" s="2"/>
      <c r="P44" s="2"/>
      <c r="Q44" s="2"/>
      <c r="R44" s="2"/>
      <c r="S44" s="2"/>
      <c r="T44" s="2"/>
      <c r="U44" s="2"/>
      <c r="V44" s="2"/>
      <c r="W44" s="2"/>
      <c r="X44" s="2"/>
    </row>
    <row r="45" customFormat="false" ht="15" hidden="false" customHeight="false" outlineLevel="0" collapsed="false">
      <c r="A45" s="24" t="str">
        <f aca="false">'Taxa de occisão'!A45</f>
        <v>Seia</v>
      </c>
      <c r="B45" s="24" t="n">
        <f aca="false">'Taxa de occisão'!B45</f>
        <v>375</v>
      </c>
      <c r="C45" s="24" t="n">
        <f aca="false">'Taxa de occisão'!C45</f>
        <v>29</v>
      </c>
      <c r="D45" s="17" t="n">
        <f aca="false">C45/B45</f>
        <v>0.0773333333333333</v>
      </c>
      <c r="E45" s="5" t="n">
        <f aca="false">IF(B45&gt;=$Q$2,1,0)</f>
        <v>1</v>
      </c>
      <c r="F45" s="25" t="n">
        <f aca="false">IF(E45=1,(D45-$Q$4)/SQRT($Q$4*(1-$Q$4)/B45),"")</f>
        <v>3.01123294029774</v>
      </c>
      <c r="G45" s="25" t="n">
        <f aca="false">IF(F45="","",MAX(MIN(F45,$Q$6),$Q$5))</f>
        <v>3.01123294029774</v>
      </c>
      <c r="H45" s="25" t="n">
        <f aca="false">IF(F45="","",F45/SQRT($Q$7))</f>
        <v>1.19267905269147</v>
      </c>
      <c r="I45" s="5" t="n">
        <f aca="false">IF(E45=1,B45/($Q$4*(1-$Q$4)),"")</f>
        <v>8712.56940160237</v>
      </c>
      <c r="J45" s="5" t="n">
        <f aca="false">IF(E45=1,I45*(D45-$Q$4)^2,"")</f>
        <v>9.06752382073415</v>
      </c>
      <c r="K45" s="5" t="n">
        <f aca="false">IF(E45=1,I45^2,"")</f>
        <v>75908865.5777379</v>
      </c>
      <c r="L45" s="25" t="n">
        <f aca="false">IF(E45=1,(D45-$Q$4)/SQRT($Q$4*(1-$Q$4)/B45+$Q$11),"")</f>
        <v>0.606777413701481</v>
      </c>
      <c r="M45" s="26" t="n">
        <f aca="false">IF(H45="","",NORMSDIST(-H45))</f>
        <v>0.11649754623109</v>
      </c>
      <c r="N45" s="5" t="str">
        <f aca="false">IF(H45="","",IF(H45&gt;$Q$14,"Sim","Não"))</f>
        <v>Não</v>
      </c>
      <c r="O45" s="2"/>
      <c r="P45" s="2"/>
      <c r="Q45" s="2"/>
      <c r="R45" s="2"/>
      <c r="S45" s="2"/>
      <c r="T45" s="2"/>
      <c r="U45" s="2"/>
      <c r="V45" s="2"/>
      <c r="W45" s="2"/>
      <c r="X45" s="2"/>
    </row>
    <row r="46" customFormat="false" ht="15" hidden="false" customHeight="false" outlineLevel="0" collapsed="false">
      <c r="A46" s="24" t="str">
        <f aca="false">'Taxa de occisão'!A46</f>
        <v>Miranda do Douro</v>
      </c>
      <c r="B46" s="24" t="n">
        <f aca="false">'Taxa de occisão'!B46</f>
        <v>13</v>
      </c>
      <c r="C46" s="24" t="n">
        <f aca="false">'Taxa de occisão'!C46</f>
        <v>1</v>
      </c>
      <c r="D46" s="17" t="n">
        <f aca="false">C46/B46</f>
        <v>0.0769230769230769</v>
      </c>
      <c r="E46" s="5" t="n">
        <f aca="false">IF(B46&gt;=$Q$2,1,0)</f>
        <v>0</v>
      </c>
      <c r="F46" s="25" t="str">
        <f aca="false">IF(E46=1,(D46-$Q$4)/SQRT($Q$4*(1-$Q$4)/B46),"")</f>
        <v/>
      </c>
      <c r="G46" s="25" t="str">
        <f aca="false">IF(F46="","",MAX(MIN(F46,$Q$6),$Q$5))</f>
        <v/>
      </c>
      <c r="H46" s="25" t="str">
        <f aca="false">IF(F46="","",F46/SQRT($Q$7))</f>
        <v/>
      </c>
      <c r="I46" s="5" t="str">
        <f aca="false">IF(E46=1,B46/($Q$4*(1-$Q$4)),"")</f>
        <v/>
      </c>
      <c r="J46" s="5" t="str">
        <f aca="false">IF(E46=1,I46*(D46-$Q$4)^2,"")</f>
        <v/>
      </c>
      <c r="K46" s="5" t="str">
        <f aca="false">IF(E46=1,I46^2,"")</f>
        <v/>
      </c>
      <c r="L46" s="25" t="str">
        <f aca="false">IF(E46=1,(D46-$Q$4)/SQRT($Q$4*(1-$Q$4)/B46+$Q$11),"")</f>
        <v/>
      </c>
      <c r="M46" s="26" t="str">
        <f aca="false">IF(H46="","",NORMSDIST(-H46))</f>
        <v/>
      </c>
      <c r="N46" s="5" t="str">
        <f aca="false">IF(H46="","",IF(H46&gt;$Q$14,"Sim","Não"))</f>
        <v/>
      </c>
      <c r="O46" s="2"/>
      <c r="P46" s="2"/>
      <c r="Q46" s="2"/>
      <c r="R46" s="2"/>
      <c r="S46" s="2"/>
      <c r="T46" s="2"/>
      <c r="U46" s="2"/>
      <c r="V46" s="2"/>
      <c r="W46" s="2"/>
      <c r="X46" s="2"/>
    </row>
    <row r="47" customFormat="false" ht="15" hidden="false" customHeight="false" outlineLevel="0" collapsed="false">
      <c r="A47" s="24" t="str">
        <f aca="false">'Taxa de occisão'!A47</f>
        <v>Vila Real</v>
      </c>
      <c r="B47" s="24" t="n">
        <f aca="false">'Taxa de occisão'!B47</f>
        <v>370</v>
      </c>
      <c r="C47" s="24" t="n">
        <f aca="false">'Taxa de occisão'!C47</f>
        <v>28</v>
      </c>
      <c r="D47" s="17" t="n">
        <f aca="false">C47/B47</f>
        <v>0.0756756756756757</v>
      </c>
      <c r="E47" s="5" t="n">
        <f aca="false">IF(B47&gt;=$Q$2,1,0)</f>
        <v>1</v>
      </c>
      <c r="F47" s="25" t="n">
        <f aca="false">IF(E47=1,(D47-$Q$4)/SQRT($Q$4*(1-$Q$4)/B47),"")</f>
        <v>2.83739800290714</v>
      </c>
      <c r="G47" s="25" t="n">
        <f aca="false">IF(F47="","",MAX(MIN(F47,$Q$6),$Q$5))</f>
        <v>2.83739800290714</v>
      </c>
      <c r="H47" s="25" t="n">
        <f aca="false">IF(F47="","",F47/SQRT($Q$7))</f>
        <v>1.12382709319106</v>
      </c>
      <c r="I47" s="5" t="n">
        <f aca="false">IF(E47=1,B47/($Q$4*(1-$Q$4)),"")</f>
        <v>8596.40180958101</v>
      </c>
      <c r="J47" s="5" t="n">
        <f aca="false">IF(E47=1,I47*(D47-$Q$4)^2,"")</f>
        <v>8.0508274269014</v>
      </c>
      <c r="K47" s="5" t="n">
        <f aca="false">IF(E47=1,I47^2,"")</f>
        <v>73898124.0717676</v>
      </c>
      <c r="L47" s="25" t="n">
        <f aca="false">IF(E47=1,(D47-$Q$4)/SQRT($Q$4*(1-$Q$4)/B47+$Q$11),"")</f>
        <v>0.575441219314886</v>
      </c>
      <c r="M47" s="26" t="n">
        <f aca="false">IF(H47="","",NORMSDIST(-H47))</f>
        <v>0.130543192670405</v>
      </c>
      <c r="N47" s="5" t="str">
        <f aca="false">IF(H47="","",IF(H47&gt;$Q$14,"Sim","Não"))</f>
        <v>Não</v>
      </c>
      <c r="O47" s="2"/>
      <c r="P47" s="2"/>
      <c r="Q47" s="2"/>
      <c r="R47" s="2"/>
      <c r="S47" s="2"/>
      <c r="T47" s="2"/>
      <c r="U47" s="2"/>
      <c r="V47" s="2"/>
      <c r="W47" s="2"/>
      <c r="X47" s="2"/>
    </row>
    <row r="48" customFormat="false" ht="15" hidden="false" customHeight="false" outlineLevel="0" collapsed="false">
      <c r="A48" s="24" t="str">
        <f aca="false">'Taxa de occisão'!A48</f>
        <v>Setúbal</v>
      </c>
      <c r="B48" s="24" t="n">
        <f aca="false">'Taxa de occisão'!B48</f>
        <v>669</v>
      </c>
      <c r="C48" s="24" t="n">
        <f aca="false">'Taxa de occisão'!C48</f>
        <v>50</v>
      </c>
      <c r="D48" s="17" t="n">
        <f aca="false">C48/B48</f>
        <v>0.0747384155455904</v>
      </c>
      <c r="E48" s="5" t="n">
        <f aca="false">IF(B48&gt;=$Q$2,1,0)</f>
        <v>1</v>
      </c>
      <c r="F48" s="25" t="n">
        <f aca="false">IF(E48=1,(D48-$Q$4)/SQRT($Q$4*(1-$Q$4)/B48),"")</f>
        <v>3.69848252670747</v>
      </c>
      <c r="G48" s="25" t="n">
        <f aca="false">IF(F48="","",MAX(MIN(F48,$Q$6),$Q$5))</f>
        <v>3.69848252670747</v>
      </c>
      <c r="H48" s="25" t="n">
        <f aca="false">IF(F48="","",F48/SQRT($Q$7))</f>
        <v>1.46488256598086</v>
      </c>
      <c r="I48" s="5" t="n">
        <f aca="false">IF(E48=1,B48/($Q$4*(1-$Q$4)),"")</f>
        <v>15543.2238124586</v>
      </c>
      <c r="J48" s="5" t="n">
        <f aca="false">IF(E48=1,I48*(D48-$Q$4)^2,"")</f>
        <v>13.6787730003605</v>
      </c>
      <c r="K48" s="5" t="n">
        <f aca="false">IF(E48=1,I48^2,"")</f>
        <v>241591806.484181</v>
      </c>
      <c r="L48" s="25" t="n">
        <f aca="false">IF(E48=1,(D48-$Q$4)/SQRT($Q$4*(1-$Q$4)/B48+$Q$11),"")</f>
        <v>0.563016282627098</v>
      </c>
      <c r="M48" s="26" t="n">
        <f aca="false">IF(H48="","",NORMSDIST(-H48))</f>
        <v>0.0714764800576264</v>
      </c>
      <c r="N48" s="5" t="str">
        <f aca="false">IF(H48="","",IF(H48&gt;$Q$14,"Sim","Não"))</f>
        <v>Não</v>
      </c>
      <c r="O48" s="2"/>
      <c r="P48" s="2"/>
      <c r="Q48" s="2"/>
      <c r="R48" s="2"/>
      <c r="S48" s="2"/>
      <c r="T48" s="2"/>
      <c r="U48" s="2"/>
      <c r="V48" s="2"/>
      <c r="W48" s="2"/>
      <c r="X48" s="2"/>
    </row>
    <row r="49" customFormat="false" ht="15" hidden="false" customHeight="false" outlineLevel="0" collapsed="false">
      <c r="A49" s="24" t="str">
        <f aca="false">'Taxa de occisão'!A49</f>
        <v>Faro</v>
      </c>
      <c r="B49" s="24" t="n">
        <f aca="false">'Taxa de occisão'!B49</f>
        <v>178</v>
      </c>
      <c r="C49" s="24" t="n">
        <f aca="false">'Taxa de occisão'!C49</f>
        <v>13</v>
      </c>
      <c r="D49" s="17" t="n">
        <f aca="false">C49/B49</f>
        <v>0.0730337078651685</v>
      </c>
      <c r="E49" s="5" t="n">
        <f aca="false">IF(B49&gt;=$Q$2,1,0)</f>
        <v>1</v>
      </c>
      <c r="F49" s="25" t="n">
        <f aca="false">IF(E49=1,(D49-$Q$4)/SQRT($Q$4*(1-$Q$4)/B49),"")</f>
        <v>1.79811886260837</v>
      </c>
      <c r="G49" s="25" t="n">
        <f aca="false">IF(F49="","",MAX(MIN(F49,$Q$6),$Q$5))</f>
        <v>1.79811886260837</v>
      </c>
      <c r="H49" s="25" t="n">
        <f aca="false">IF(F49="","",F49/SQRT($Q$7))</f>
        <v>0.712192893808598</v>
      </c>
      <c r="I49" s="5" t="n">
        <f aca="false">IF(E49=1,B49/($Q$4*(1-$Q$4)),"")</f>
        <v>4135.56627596059</v>
      </c>
      <c r="J49" s="5" t="n">
        <f aca="false">IF(E49=1,I49*(D49-$Q$4)^2,"")</f>
        <v>3.23323144406801</v>
      </c>
      <c r="K49" s="5" t="n">
        <f aca="false">IF(E49=1,I49^2,"")</f>
        <v>17102908.4228626</v>
      </c>
      <c r="L49" s="25" t="n">
        <f aca="false">IF(E49=1,(D49-$Q$4)/SQRT($Q$4*(1-$Q$4)/B49+$Q$11),"")</f>
        <v>0.514474396428696</v>
      </c>
      <c r="M49" s="26" t="n">
        <f aca="false">IF(H49="","",NORMSDIST(-H49))</f>
        <v>0.2381726683903</v>
      </c>
      <c r="N49" s="5" t="str">
        <f aca="false">IF(H49="","",IF(H49&gt;$Q$14,"Sim","Não"))</f>
        <v>Não</v>
      </c>
      <c r="O49" s="2"/>
      <c r="P49" s="2"/>
      <c r="Q49" s="2"/>
      <c r="R49" s="2"/>
      <c r="S49" s="2"/>
      <c r="T49" s="2"/>
      <c r="U49" s="2"/>
      <c r="V49" s="2"/>
      <c r="W49" s="2"/>
      <c r="X49" s="2"/>
    </row>
    <row r="50" customFormat="false" ht="15" hidden="false" customHeight="false" outlineLevel="0" collapsed="false">
      <c r="A50" s="24" t="str">
        <f aca="false">'Taxa de occisão'!A50</f>
        <v>Alvito</v>
      </c>
      <c r="B50" s="24" t="n">
        <f aca="false">'Taxa de occisão'!B50</f>
        <v>14</v>
      </c>
      <c r="C50" s="24" t="n">
        <f aca="false">'Taxa de occisão'!C50</f>
        <v>1</v>
      </c>
      <c r="D50" s="17" t="n">
        <f aca="false">C50/B50</f>
        <v>0.0714285714285714</v>
      </c>
      <c r="E50" s="5" t="n">
        <f aca="false">IF(B50&gt;=$Q$2,1,0)</f>
        <v>0</v>
      </c>
      <c r="F50" s="25" t="str">
        <f aca="false">IF(E50=1,(D50-$Q$4)/SQRT($Q$4*(1-$Q$4)/B50),"")</f>
        <v/>
      </c>
      <c r="G50" s="25" t="str">
        <f aca="false">IF(F50="","",MAX(MIN(F50,$Q$6),$Q$5))</f>
        <v/>
      </c>
      <c r="H50" s="25" t="str">
        <f aca="false">IF(F50="","",F50/SQRT($Q$7))</f>
        <v/>
      </c>
      <c r="I50" s="5" t="str">
        <f aca="false">IF(E50=1,B50/($Q$4*(1-$Q$4)),"")</f>
        <v/>
      </c>
      <c r="J50" s="5" t="str">
        <f aca="false">IF(E50=1,I50*(D50-$Q$4)^2,"")</f>
        <v/>
      </c>
      <c r="K50" s="5" t="str">
        <f aca="false">IF(E50=1,I50^2,"")</f>
        <v/>
      </c>
      <c r="L50" s="25" t="str">
        <f aca="false">IF(E50=1,(D50-$Q$4)/SQRT($Q$4*(1-$Q$4)/B50+$Q$11),"")</f>
        <v/>
      </c>
      <c r="M50" s="26" t="str">
        <f aca="false">IF(H50="","",NORMSDIST(-H50))</f>
        <v/>
      </c>
      <c r="N50" s="5" t="str">
        <f aca="false">IF(H50="","",IF(H50&gt;$Q$14,"Sim","Não"))</f>
        <v/>
      </c>
      <c r="O50" s="2"/>
      <c r="P50" s="2"/>
      <c r="Q50" s="2"/>
      <c r="R50" s="2"/>
      <c r="S50" s="2"/>
      <c r="T50" s="2"/>
      <c r="U50" s="2"/>
      <c r="V50" s="2"/>
      <c r="W50" s="2"/>
      <c r="X50" s="2"/>
    </row>
    <row r="51" customFormat="false" ht="15" hidden="false" customHeight="false" outlineLevel="0" collapsed="false">
      <c r="A51" s="24" t="str">
        <f aca="false">'Taxa de occisão'!A51</f>
        <v>Celorico da Beira</v>
      </c>
      <c r="B51" s="24" t="n">
        <f aca="false">'Taxa de occisão'!B51</f>
        <v>99</v>
      </c>
      <c r="C51" s="24" t="n">
        <f aca="false">'Taxa de occisão'!C51</f>
        <v>7</v>
      </c>
      <c r="D51" s="17" t="n">
        <f aca="false">C51/B51</f>
        <v>0.0707070707070707</v>
      </c>
      <c r="E51" s="5" t="n">
        <f aca="false">IF(B51&gt;=$Q$2,1,0)</f>
        <v>1</v>
      </c>
      <c r="F51" s="25" t="n">
        <f aca="false">IF(E51=1,(D51-$Q$4)/SQRT($Q$4*(1-$Q$4)/B51),"")</f>
        <v>1.22940693281683</v>
      </c>
      <c r="G51" s="25" t="n">
        <f aca="false">IF(F51="","",MAX(MIN(F51,$Q$6),$Q$5))</f>
        <v>1.22940693281683</v>
      </c>
      <c r="H51" s="25" t="n">
        <f aca="false">IF(F51="","",F51/SQRT($Q$7))</f>
        <v>0.486939378346242</v>
      </c>
      <c r="I51" s="5" t="n">
        <f aca="false">IF(E51=1,B51/($Q$4*(1-$Q$4)),"")</f>
        <v>2300.11832202303</v>
      </c>
      <c r="J51" s="5" t="n">
        <f aca="false">IF(E51=1,I51*(D51-$Q$4)^2,"")</f>
        <v>1.51144140645809</v>
      </c>
      <c r="K51" s="5" t="n">
        <f aca="false">IF(E51=1,I51^2,"")</f>
        <v>5290544.29530602</v>
      </c>
      <c r="L51" s="25" t="n">
        <f aca="false">IF(E51=1,(D51-$Q$4)/SQRT($Q$4*(1-$Q$4)/B51+$Q$11),"")</f>
        <v>0.45697482283096</v>
      </c>
      <c r="M51" s="26" t="n">
        <f aca="false">IF(H51="","",NORMSDIST(-H51))</f>
        <v>0.313150645937854</v>
      </c>
      <c r="N51" s="5" t="str">
        <f aca="false">IF(H51="","",IF(H51&gt;$Q$14,"Sim","Não"))</f>
        <v>Não</v>
      </c>
      <c r="O51" s="2"/>
      <c r="P51" s="2"/>
      <c r="Q51" s="2"/>
      <c r="R51" s="2"/>
      <c r="S51" s="2"/>
      <c r="T51" s="2"/>
      <c r="U51" s="2"/>
      <c r="V51" s="2"/>
      <c r="W51" s="2"/>
      <c r="X51" s="2"/>
    </row>
    <row r="52" customFormat="false" ht="15" hidden="false" customHeight="false" outlineLevel="0" collapsed="false">
      <c r="A52" s="24" t="str">
        <f aca="false">'Taxa de occisão'!A52</f>
        <v>Tomar</v>
      </c>
      <c r="B52" s="24" t="n">
        <f aca="false">'Taxa de occisão'!B52</f>
        <v>588</v>
      </c>
      <c r="C52" s="24" t="n">
        <f aca="false">'Taxa de occisão'!C52</f>
        <v>41</v>
      </c>
      <c r="D52" s="17" t="n">
        <f aca="false">C52/B52</f>
        <v>0.0697278911564626</v>
      </c>
      <c r="E52" s="5" t="n">
        <f aca="false">IF(B52&gt;=$Q$2,1,0)</f>
        <v>1</v>
      </c>
      <c r="F52" s="25" t="n">
        <f aca="false">IF(E52=1,(D52-$Q$4)/SQRT($Q$4*(1-$Q$4)/B52),"")</f>
        <v>2.88172380487506</v>
      </c>
      <c r="G52" s="25" t="n">
        <f aca="false">IF(F52="","",MAX(MIN(F52,$Q$6),$Q$5))</f>
        <v>2.88172380487506</v>
      </c>
      <c r="H52" s="25" t="n">
        <f aca="false">IF(F52="","",F52/SQRT($Q$7))</f>
        <v>1.14138350830375</v>
      </c>
      <c r="I52" s="5" t="n">
        <f aca="false">IF(E52=1,B52/($Q$4*(1-$Q$4)),"")</f>
        <v>13661.3088217125</v>
      </c>
      <c r="J52" s="5" t="n">
        <f aca="false">IF(E52=1,I52*(D52-$Q$4)^2,"")</f>
        <v>8.3043320875836</v>
      </c>
      <c r="K52" s="5" t="n">
        <f aca="false">IF(E52=1,I52^2,"")</f>
        <v>186631358.7222</v>
      </c>
      <c r="L52" s="25" t="n">
        <f aca="false">IF(E52=1,(D52-$Q$4)/SQRT($Q$4*(1-$Q$4)/B52+$Q$11),"")</f>
        <v>0.46717763154652</v>
      </c>
      <c r="M52" s="26" t="n">
        <f aca="false">IF(H52="","",NORMSDIST(-H52))</f>
        <v>0.126855182248865</v>
      </c>
      <c r="N52" s="5" t="str">
        <f aca="false">IF(H52="","",IF(H52&gt;$Q$14,"Sim","Não"))</f>
        <v>Não</v>
      </c>
      <c r="O52" s="2"/>
      <c r="P52" s="2"/>
      <c r="Q52" s="2"/>
      <c r="R52" s="2"/>
      <c r="S52" s="2"/>
      <c r="T52" s="2"/>
      <c r="U52" s="2"/>
      <c r="V52" s="2"/>
      <c r="W52" s="2"/>
      <c r="X52" s="2"/>
    </row>
    <row r="53" customFormat="false" ht="15" hidden="false" customHeight="false" outlineLevel="0" collapsed="false">
      <c r="A53" s="24" t="str">
        <f aca="false">'Taxa de occisão'!A53</f>
        <v>Paços de Ferreira</v>
      </c>
      <c r="B53" s="24" t="n">
        <f aca="false">'Taxa de occisão'!B53</f>
        <v>133</v>
      </c>
      <c r="C53" s="24" t="n">
        <f aca="false">'Taxa de occisão'!C53</f>
        <v>9</v>
      </c>
      <c r="D53" s="17" t="n">
        <f aca="false">C53/B53</f>
        <v>0.0676691729323308</v>
      </c>
      <c r="E53" s="5" t="n">
        <f aca="false">IF(B53&gt;=$Q$2,1,0)</f>
        <v>1</v>
      </c>
      <c r="F53" s="25" t="n">
        <f aca="false">IF(E53=1,(D53-$Q$4)/SQRT($Q$4*(1-$Q$4)/B53),"")</f>
        <v>1.25609242071263</v>
      </c>
      <c r="G53" s="25" t="n">
        <f aca="false">IF(F53="","",MAX(MIN(F53,$Q$6),$Q$5))</f>
        <v>1.25609242071263</v>
      </c>
      <c r="H53" s="25" t="n">
        <f aca="false">IF(F53="","",F53/SQRT($Q$7))</f>
        <v>0.497508876971955</v>
      </c>
      <c r="I53" s="5" t="n">
        <f aca="false">IF(E53=1,B53/($Q$4*(1-$Q$4)),"")</f>
        <v>3090.05794776831</v>
      </c>
      <c r="J53" s="5" t="n">
        <f aca="false">IF(E53=1,I53*(D53-$Q$4)^2,"")</f>
        <v>1.57776816937172</v>
      </c>
      <c r="K53" s="5" t="n">
        <f aca="false">IF(E53=1,I53^2,"")</f>
        <v>9548458.12056609</v>
      </c>
      <c r="L53" s="25" t="n">
        <f aca="false">IF(E53=1,(D53-$Q$4)/SQRT($Q$4*(1-$Q$4)/B53+$Q$11),"")</f>
        <v>0.4101269859601</v>
      </c>
      <c r="M53" s="26" t="n">
        <f aca="false">IF(H53="","",NORMSDIST(-H53))</f>
        <v>0.309415122290177</v>
      </c>
      <c r="N53" s="5" t="str">
        <f aca="false">IF(H53="","",IF(H53&gt;$Q$14,"Sim","Não"))</f>
        <v>Não</v>
      </c>
      <c r="O53" s="2"/>
      <c r="P53" s="2"/>
      <c r="Q53" s="2"/>
      <c r="R53" s="2"/>
      <c r="S53" s="2"/>
      <c r="T53" s="2"/>
      <c r="U53" s="2"/>
      <c r="V53" s="2"/>
      <c r="W53" s="2"/>
      <c r="X53" s="2"/>
    </row>
    <row r="54" customFormat="false" ht="15" hidden="false" customHeight="false" outlineLevel="0" collapsed="false">
      <c r="A54" s="24" t="str">
        <f aca="false">'Taxa de occisão'!A54</f>
        <v>Torres Vedras</v>
      </c>
      <c r="B54" s="24" t="n">
        <f aca="false">'Taxa de occisão'!B54</f>
        <v>194</v>
      </c>
      <c r="C54" s="24" t="n">
        <f aca="false">'Taxa de occisão'!C54</f>
        <v>13</v>
      </c>
      <c r="D54" s="17" t="n">
        <f aca="false">C54/B54</f>
        <v>0.0670103092783505</v>
      </c>
      <c r="E54" s="5" t="n">
        <f aca="false">IF(B54&gt;=$Q$2,1,0)</f>
        <v>1</v>
      </c>
      <c r="F54" s="25" t="n">
        <f aca="false">IF(E54=1,(D54-$Q$4)/SQRT($Q$4*(1-$Q$4)/B54),"")</f>
        <v>1.47280486396679</v>
      </c>
      <c r="G54" s="25" t="n">
        <f aca="false">IF(F54="","",MAX(MIN(F54,$Q$6),$Q$5))</f>
        <v>1.47280486396679</v>
      </c>
      <c r="H54" s="25" t="n">
        <f aca="false">IF(F54="","",F54/SQRT($Q$7))</f>
        <v>0.583343615317127</v>
      </c>
      <c r="I54" s="5" t="n">
        <f aca="false">IF(E54=1,B54/($Q$4*(1-$Q$4)),"")</f>
        <v>4507.30257042896</v>
      </c>
      <c r="J54" s="5" t="n">
        <f aca="false">IF(E54=1,I54*(D54-$Q$4)^2,"")</f>
        <v>2.16915416732423</v>
      </c>
      <c r="K54" s="5" t="n">
        <f aca="false">IF(E54=1,I54^2,"")</f>
        <v>20315776.4613955</v>
      </c>
      <c r="L54" s="25" t="n">
        <f aca="false">IF(E54=1,(D54-$Q$4)/SQRT($Q$4*(1-$Q$4)/B54+$Q$11),"")</f>
        <v>0.405014699902865</v>
      </c>
      <c r="M54" s="26" t="n">
        <f aca="false">IF(H54="","",NORMSDIST(-H54))</f>
        <v>0.279831003446745</v>
      </c>
      <c r="N54" s="5" t="str">
        <f aca="false">IF(H54="","",IF(H54&gt;$Q$14,"Sim","Não"))</f>
        <v>Não</v>
      </c>
      <c r="O54" s="2"/>
      <c r="P54" s="2"/>
      <c r="Q54" s="2"/>
      <c r="R54" s="2"/>
      <c r="S54" s="2"/>
      <c r="T54" s="2"/>
      <c r="U54" s="2"/>
      <c r="V54" s="2"/>
      <c r="W54" s="2"/>
      <c r="X54" s="2"/>
    </row>
    <row r="55" customFormat="false" ht="15" hidden="false" customHeight="false" outlineLevel="0" collapsed="false">
      <c r="A55" s="24" t="str">
        <f aca="false">'Taxa de occisão'!A55</f>
        <v>Ponta Delgada</v>
      </c>
      <c r="B55" s="24" t="n">
        <f aca="false">'Taxa de occisão'!B55</f>
        <v>875</v>
      </c>
      <c r="C55" s="24" t="n">
        <f aca="false">'Taxa de occisão'!C55</f>
        <v>58</v>
      </c>
      <c r="D55" s="17" t="n">
        <f aca="false">C55/B55</f>
        <v>0.0662857142857143</v>
      </c>
      <c r="E55" s="5" t="n">
        <f aca="false">IF(B55&gt;=$Q$2,1,0)</f>
        <v>1</v>
      </c>
      <c r="F55" s="25" t="n">
        <f aca="false">IF(E55=1,(D55-$Q$4)/SQRT($Q$4*(1-$Q$4)/B55),"")</f>
        <v>3.02455422524221</v>
      </c>
      <c r="G55" s="25" t="n">
        <f aca="false">IF(F55="","",MAX(MIN(F55,$Q$6),$Q$5))</f>
        <v>3.02455422524221</v>
      </c>
      <c r="H55" s="25" t="n">
        <f aca="false">IF(F55="","",F55/SQRT($Q$7))</f>
        <v>1.19795530259416</v>
      </c>
      <c r="I55" s="5" t="n">
        <f aca="false">IF(E55=1,B55/($Q$4*(1-$Q$4)),"")</f>
        <v>20329.3286037389</v>
      </c>
      <c r="J55" s="5" t="n">
        <f aca="false">IF(E55=1,I55*(D55-$Q$4)^2,"")</f>
        <v>9.14792826143052</v>
      </c>
      <c r="K55" s="5" t="n">
        <f aca="false">IF(E55=1,I55^2,"")</f>
        <v>413281601.478795</v>
      </c>
      <c r="L55" s="25" t="n">
        <f aca="false">IF(E55=1,(D55-$Q$4)/SQRT($Q$4*(1-$Q$4)/B55+$Q$11),"")</f>
        <v>0.403697197340921</v>
      </c>
      <c r="M55" s="26" t="n">
        <f aca="false">IF(H55="","",NORMSDIST(-H55))</f>
        <v>0.115467209176427</v>
      </c>
      <c r="N55" s="5" t="str">
        <f aca="false">IF(H55="","",IF(H55&gt;$Q$14,"Sim","Não"))</f>
        <v>Não</v>
      </c>
      <c r="O55" s="2"/>
      <c r="P55" s="2"/>
      <c r="Q55" s="2"/>
      <c r="R55" s="2"/>
      <c r="S55" s="2"/>
      <c r="T55" s="2"/>
      <c r="U55" s="2"/>
      <c r="V55" s="2"/>
      <c r="W55" s="2"/>
      <c r="X55" s="2"/>
    </row>
    <row r="56" customFormat="false" ht="15" hidden="false" customHeight="false" outlineLevel="0" collapsed="false">
      <c r="A56" s="24" t="str">
        <f aca="false">'Taxa de occisão'!A56</f>
        <v>Lagoa (Algarve)</v>
      </c>
      <c r="B56" s="24" t="n">
        <f aca="false">'Taxa de occisão'!B56</f>
        <v>253</v>
      </c>
      <c r="C56" s="24" t="n">
        <f aca="false">'Taxa de occisão'!C56</f>
        <v>16</v>
      </c>
      <c r="D56" s="17" t="n">
        <f aca="false">C56/B56</f>
        <v>0.0632411067193676</v>
      </c>
      <c r="E56" s="5" t="n">
        <f aca="false">IF(B56&gt;=$Q$2,1,0)</f>
        <v>1</v>
      </c>
      <c r="F56" s="25" t="n">
        <f aca="false">IF(E56=1,(D56-$Q$4)/SQRT($Q$4*(1-$Q$4)/B56),"")</f>
        <v>1.39293754579345</v>
      </c>
      <c r="G56" s="25" t="n">
        <f aca="false">IF(F56="","",MAX(MIN(F56,$Q$6),$Q$5))</f>
        <v>1.39293754579345</v>
      </c>
      <c r="H56" s="25" t="n">
        <f aca="false">IF(F56="","",F56/SQRT($Q$7))</f>
        <v>0.551710035561398</v>
      </c>
      <c r="I56" s="5" t="n">
        <f aca="false">IF(E56=1,B56/($Q$4*(1-$Q$4)),"")</f>
        <v>5878.08015628107</v>
      </c>
      <c r="J56" s="5" t="n">
        <f aca="false">IF(E56=1,I56*(D56-$Q$4)^2,"")</f>
        <v>1.94027500648108</v>
      </c>
      <c r="K56" s="5" t="n">
        <f aca="false">IF(E56=1,I56^2,"")</f>
        <v>34551826.3236653</v>
      </c>
      <c r="L56" s="25" t="n">
        <f aca="false">IF(E56=1,(D56-$Q$4)/SQRT($Q$4*(1-$Q$4)/B56+$Q$11),"")</f>
        <v>0.33842422995484</v>
      </c>
      <c r="M56" s="26" t="n">
        <f aca="false">IF(H56="","",NORMSDIST(-H56))</f>
        <v>0.290573516581931</v>
      </c>
      <c r="N56" s="5" t="str">
        <f aca="false">IF(H56="","",IF(H56&gt;$Q$14,"Sim","Não"))</f>
        <v>Não</v>
      </c>
      <c r="O56" s="2"/>
      <c r="P56" s="2"/>
      <c r="Q56" s="2"/>
      <c r="R56" s="2"/>
      <c r="S56" s="2"/>
      <c r="T56" s="2"/>
      <c r="U56" s="2"/>
      <c r="V56" s="2"/>
      <c r="W56" s="2"/>
      <c r="X56" s="2"/>
    </row>
    <row r="57" customFormat="false" ht="15" hidden="false" customHeight="false" outlineLevel="0" collapsed="false">
      <c r="A57" s="24" t="str">
        <f aca="false">'Taxa de occisão'!A57</f>
        <v>Santa Cruz da Graciosa</v>
      </c>
      <c r="B57" s="24" t="n">
        <f aca="false">'Taxa de occisão'!B57</f>
        <v>32</v>
      </c>
      <c r="C57" s="24" t="n">
        <f aca="false">'Taxa de occisão'!C57</f>
        <v>2</v>
      </c>
      <c r="D57" s="17" t="n">
        <f aca="false">C57/B57</f>
        <v>0.0625</v>
      </c>
      <c r="E57" s="5" t="n">
        <f aca="false">IF(B57&gt;=$Q$2,1,0)</f>
        <v>1</v>
      </c>
      <c r="F57" s="25" t="n">
        <f aca="false">IF(E57=1,(D57-$Q$4)/SQRT($Q$4*(1-$Q$4)/B57),"")</f>
        <v>0.475181486364142</v>
      </c>
      <c r="G57" s="25" t="n">
        <f aca="false">IF(F57="","",MAX(MIN(F57,$Q$6),$Q$5))</f>
        <v>0.475181486364142</v>
      </c>
      <c r="H57" s="25" t="n">
        <f aca="false">IF(F57="","",F57/SQRT($Q$7))</f>
        <v>0.18820829083959</v>
      </c>
      <c r="I57" s="5" t="n">
        <f aca="false">IF(E57=1,B57/($Q$4*(1-$Q$4)),"")</f>
        <v>743.472588936736</v>
      </c>
      <c r="J57" s="5" t="n">
        <f aca="false">IF(E57=1,I57*(D57-$Q$4)^2,"")</f>
        <v>0.225797444983235</v>
      </c>
      <c r="K57" s="5" t="n">
        <f aca="false">IF(E57=1,I57^2,"")</f>
        <v>552751.490500292</v>
      </c>
      <c r="L57" s="25" t="n">
        <f aca="false">IF(E57=1,(D57-$Q$4)/SQRT($Q$4*(1-$Q$4)/B57+$Q$11),"")</f>
        <v>0.273605707050529</v>
      </c>
      <c r="M57" s="26" t="n">
        <f aca="false">IF(H57="","",NORMSDIST(-H57))</f>
        <v>0.425356686740226</v>
      </c>
      <c r="N57" s="5" t="str">
        <f aca="false">IF(H57="","",IF(H57&gt;$Q$14,"Sim","Não"))</f>
        <v>Não</v>
      </c>
      <c r="O57" s="2"/>
      <c r="P57" s="2"/>
      <c r="Q57" s="2"/>
      <c r="R57" s="2"/>
      <c r="S57" s="2"/>
      <c r="T57" s="2"/>
      <c r="U57" s="2"/>
      <c r="V57" s="2"/>
      <c r="W57" s="2"/>
      <c r="X57" s="2"/>
    </row>
    <row r="58" customFormat="false" ht="15" hidden="false" customHeight="false" outlineLevel="0" collapsed="false">
      <c r="A58" s="24" t="str">
        <f aca="false">'Taxa de occisão'!A58</f>
        <v>Vila Franca de Xira</v>
      </c>
      <c r="B58" s="24" t="n">
        <f aca="false">'Taxa de occisão'!B58</f>
        <v>269</v>
      </c>
      <c r="C58" s="24" t="n">
        <f aca="false">'Taxa de occisão'!C58</f>
        <v>16</v>
      </c>
      <c r="D58" s="17" t="n">
        <f aca="false">C58/B58</f>
        <v>0.0594795539033457</v>
      </c>
      <c r="E58" s="5" t="n">
        <f aca="false">IF(B58&gt;=$Q$2,1,0)</f>
        <v>1</v>
      </c>
      <c r="F58" s="25" t="n">
        <f aca="false">IF(E58=1,(D58-$Q$4)/SQRT($Q$4*(1-$Q$4)/B58),"")</f>
        <v>1.13893532277417</v>
      </c>
      <c r="G58" s="25" t="n">
        <f aca="false">IF(F58="","",MAX(MIN(F58,$Q$6),$Q$5))</f>
        <v>1.13893532277417</v>
      </c>
      <c r="H58" s="25" t="n">
        <f aca="false">IF(F58="","",F58/SQRT($Q$7))</f>
        <v>0.451105686200696</v>
      </c>
      <c r="I58" s="5" t="n">
        <f aca="false">IF(E58=1,B58/($Q$4*(1-$Q$4)),"")</f>
        <v>6249.81645074944</v>
      </c>
      <c r="J58" s="5" t="n">
        <f aca="false">IF(E58=1,I58*(D58-$Q$4)^2,"")</f>
        <v>1.29717366946269</v>
      </c>
      <c r="K58" s="5" t="n">
        <f aca="false">IF(E58=1,I58^2,"")</f>
        <v>39060205.6680583</v>
      </c>
      <c r="L58" s="25" t="n">
        <f aca="false">IF(E58=1,(D58-$Q$4)/SQRT($Q$4*(1-$Q$4)/B58+$Q$11),"")</f>
        <v>0.268829377818816</v>
      </c>
      <c r="M58" s="26" t="n">
        <f aca="false">IF(H58="","",NORMSDIST(-H58))</f>
        <v>0.325956689836147</v>
      </c>
      <c r="N58" s="5" t="str">
        <f aca="false">IF(H58="","",IF(H58&gt;$Q$14,"Sim","Não"))</f>
        <v>Não</v>
      </c>
      <c r="O58" s="2"/>
      <c r="P58" s="2"/>
      <c r="Q58" s="2"/>
      <c r="R58" s="2"/>
      <c r="S58" s="2"/>
      <c r="T58" s="2"/>
      <c r="U58" s="2"/>
      <c r="V58" s="2"/>
      <c r="W58" s="2"/>
      <c r="X58" s="2"/>
    </row>
    <row r="59" customFormat="false" ht="15" hidden="false" customHeight="false" outlineLevel="0" collapsed="false">
      <c r="A59" s="24" t="str">
        <f aca="false">'Taxa de occisão'!A59</f>
        <v>Mafra</v>
      </c>
      <c r="B59" s="24" t="n">
        <f aca="false">'Taxa de occisão'!B59</f>
        <v>119</v>
      </c>
      <c r="C59" s="24" t="n">
        <f aca="false">'Taxa de occisão'!C59</f>
        <v>7</v>
      </c>
      <c r="D59" s="17" t="n">
        <f aca="false">C59/B59</f>
        <v>0.0588235294117647</v>
      </c>
      <c r="E59" s="5" t="n">
        <f aca="false">IF(B59&gt;=$Q$2,1,0)</f>
        <v>1</v>
      </c>
      <c r="F59" s="25" t="n">
        <f aca="false">IF(E59=1,(D59-$Q$4)/SQRT($Q$4*(1-$Q$4)/B59),"")</f>
        <v>0.72302941781913</v>
      </c>
      <c r="G59" s="25" t="n">
        <f aca="false">IF(F59="","",MAX(MIN(F59,$Q$6),$Q$5))</f>
        <v>0.72302941781913</v>
      </c>
      <c r="H59" s="25" t="n">
        <f aca="false">IF(F59="","",F59/SQRT($Q$7))</f>
        <v>0.286375069019843</v>
      </c>
      <c r="I59" s="5" t="n">
        <f aca="false">IF(E59=1,B59/($Q$4*(1-$Q$4)),"")</f>
        <v>2764.78869010849</v>
      </c>
      <c r="J59" s="5" t="n">
        <f aca="false">IF(E59=1,I59*(D59-$Q$4)^2,"")</f>
        <v>0.52277153903187</v>
      </c>
      <c r="K59" s="5" t="n">
        <f aca="false">IF(E59=1,I59^2,"")</f>
        <v>7644056.5009518</v>
      </c>
      <c r="L59" s="25" t="n">
        <f aca="false">IF(E59=1,(D59-$Q$4)/SQRT($Q$4*(1-$Q$4)/B59+$Q$11),"")</f>
        <v>0.248026729866</v>
      </c>
      <c r="M59" s="26" t="n">
        <f aca="false">IF(H59="","",NORMSDIST(-H59))</f>
        <v>0.387295433747006</v>
      </c>
      <c r="N59" s="5" t="str">
        <f aca="false">IF(H59="","",IF(H59&gt;$Q$14,"Sim","Não"))</f>
        <v>Não</v>
      </c>
      <c r="O59" s="2"/>
      <c r="P59" s="2"/>
      <c r="Q59" s="2"/>
      <c r="R59" s="2"/>
      <c r="S59" s="2"/>
      <c r="T59" s="2"/>
      <c r="U59" s="2"/>
      <c r="V59" s="2"/>
      <c r="W59" s="2"/>
      <c r="X59" s="2"/>
    </row>
    <row r="60" customFormat="false" ht="15" hidden="false" customHeight="false" outlineLevel="0" collapsed="false">
      <c r="A60" s="24" t="str">
        <f aca="false">'Taxa de occisão'!A60</f>
        <v>Leiria</v>
      </c>
      <c r="B60" s="24" t="n">
        <f aca="false">'Taxa de occisão'!B60</f>
        <v>499</v>
      </c>
      <c r="C60" s="24" t="n">
        <f aca="false">'Taxa de occisão'!C60</f>
        <v>29</v>
      </c>
      <c r="D60" s="17" t="n">
        <f aca="false">C60/B60</f>
        <v>0.0581162324649299</v>
      </c>
      <c r="E60" s="5" t="n">
        <f aca="false">IF(B60&gt;=$Q$2,1,0)</f>
        <v>1</v>
      </c>
      <c r="F60" s="25" t="n">
        <f aca="false">IF(E60=1,(D60-$Q$4)/SQRT($Q$4*(1-$Q$4)/B60),"")</f>
        <v>1.40442605371063</v>
      </c>
      <c r="G60" s="25" t="n">
        <f aca="false">IF(F60="","",MAX(MIN(F60,$Q$6),$Q$5))</f>
        <v>1.40442605371063</v>
      </c>
      <c r="H60" s="25" t="n">
        <f aca="false">IF(F60="","",F60/SQRT($Q$7))</f>
        <v>0.556260365280542</v>
      </c>
      <c r="I60" s="5" t="n">
        <f aca="false">IF(E60=1,B60/($Q$4*(1-$Q$4)),"")</f>
        <v>11593.5256837322</v>
      </c>
      <c r="J60" s="5" t="n">
        <f aca="false">IF(E60=1,I60*(D60-$Q$4)^2,"")</f>
        <v>1.97241254034121</v>
      </c>
      <c r="K60" s="5" t="n">
        <f aca="false">IF(E60=1,I60^2,"")</f>
        <v>134409837.779359</v>
      </c>
      <c r="L60" s="25" t="n">
        <f aca="false">IF(E60=1,(D60-$Q$4)/SQRT($Q$4*(1-$Q$4)/B60+$Q$11),"")</f>
        <v>0.246576360007998</v>
      </c>
      <c r="M60" s="26" t="n">
        <f aca="false">IF(H60="","",NORMSDIST(-H60))</f>
        <v>0.289016438930963</v>
      </c>
      <c r="N60" s="5" t="str">
        <f aca="false">IF(H60="","",IF(H60&gt;$Q$14,"Sim","Não"))</f>
        <v>Não</v>
      </c>
      <c r="O60" s="2"/>
      <c r="P60" s="2"/>
      <c r="Q60" s="2"/>
      <c r="R60" s="2"/>
      <c r="S60" s="2"/>
      <c r="T60" s="2"/>
      <c r="U60" s="2"/>
      <c r="V60" s="2"/>
      <c r="W60" s="2"/>
      <c r="X60" s="2"/>
    </row>
    <row r="61" customFormat="false" ht="15" hidden="false" customHeight="false" outlineLevel="0" collapsed="false">
      <c r="A61" s="24" t="str">
        <f aca="false">'Taxa de occisão'!A61</f>
        <v>Caldas da Rainha</v>
      </c>
      <c r="B61" s="24" t="n">
        <f aca="false">'Taxa de occisão'!B61</f>
        <v>70</v>
      </c>
      <c r="C61" s="24" t="n">
        <f aca="false">'Taxa de occisão'!C61</f>
        <v>4</v>
      </c>
      <c r="D61" s="17" t="n">
        <f aca="false">C61/B61</f>
        <v>0.0571428571428571</v>
      </c>
      <c r="E61" s="5" t="n">
        <f aca="false">IF(B61&gt;=$Q$2,1,0)</f>
        <v>1</v>
      </c>
      <c r="F61" s="25" t="n">
        <f aca="false">IF(E61=1,(D61-$Q$4)/SQRT($Q$4*(1-$Q$4)/B61),"")</f>
        <v>0.486760125112684</v>
      </c>
      <c r="G61" s="25" t="n">
        <f aca="false">IF(F61="","",MAX(MIN(F61,$Q$6),$Q$5))</f>
        <v>0.486760125112684</v>
      </c>
      <c r="H61" s="25" t="n">
        <f aca="false">IF(F61="","",F61/SQRT($Q$7))</f>
        <v>0.192794319276402</v>
      </c>
      <c r="I61" s="5" t="n">
        <f aca="false">IF(E61=1,B61/($Q$4*(1-$Q$4)),"")</f>
        <v>1626.34628829911</v>
      </c>
      <c r="J61" s="5" t="n">
        <f aca="false">IF(E61=1,I61*(D61-$Q$4)^2,"")</f>
        <v>0.236935419399716</v>
      </c>
      <c r="K61" s="5" t="n">
        <f aca="false">IF(E61=1,I61^2,"")</f>
        <v>2645002.24946429</v>
      </c>
      <c r="L61" s="25" t="n">
        <f aca="false">IF(E61=1,(D61-$Q$4)/SQRT($Q$4*(1-$Q$4)/B61+$Q$11),"")</f>
        <v>0.209263540048072</v>
      </c>
      <c r="M61" s="26" t="n">
        <f aca="false">IF(H61="","",NORMSDIST(-H61))</f>
        <v>0.423560026294299</v>
      </c>
      <c r="N61" s="5" t="str">
        <f aca="false">IF(H61="","",IF(H61&gt;$Q$14,"Sim","Não"))</f>
        <v>Não</v>
      </c>
      <c r="O61" s="2"/>
      <c r="P61" s="2"/>
      <c r="Q61" s="2"/>
      <c r="R61" s="2"/>
      <c r="S61" s="2"/>
      <c r="T61" s="2"/>
      <c r="U61" s="2"/>
      <c r="V61" s="2"/>
      <c r="W61" s="2"/>
      <c r="X61" s="2"/>
    </row>
    <row r="62" customFormat="false" ht="15" hidden="false" customHeight="false" outlineLevel="0" collapsed="false">
      <c r="A62" s="24" t="str">
        <f aca="false">'Taxa de occisão'!A62</f>
        <v>Ansião</v>
      </c>
      <c r="B62" s="24" t="n">
        <f aca="false">'Taxa de occisão'!B62</f>
        <v>181</v>
      </c>
      <c r="C62" s="24" t="n">
        <f aca="false">'Taxa de occisão'!C62</f>
        <v>10</v>
      </c>
      <c r="D62" s="17" t="n">
        <f aca="false">C62/B62</f>
        <v>0.0552486187845304</v>
      </c>
      <c r="E62" s="5" t="n">
        <f aca="false">IF(B62&gt;=$Q$2,1,0)</f>
        <v>1</v>
      </c>
      <c r="F62" s="25" t="n">
        <f aca="false">IF(E62=1,(D62-$Q$4)/SQRT($Q$4*(1-$Q$4)/B62),"")</f>
        <v>0.659880268679768</v>
      </c>
      <c r="G62" s="25" t="n">
        <f aca="false">IF(F62="","",MAX(MIN(F62,$Q$6),$Q$5))</f>
        <v>0.659880268679768</v>
      </c>
      <c r="H62" s="25" t="n">
        <f aca="false">IF(F62="","",F62/SQRT($Q$7))</f>
        <v>0.261363165634394</v>
      </c>
      <c r="I62" s="5" t="n">
        <f aca="false">IF(E62=1,B62/($Q$4*(1-$Q$4)),"")</f>
        <v>4205.26683117341</v>
      </c>
      <c r="J62" s="5" t="n">
        <f aca="false">IF(E62=1,I62*(D62-$Q$4)^2,"")</f>
        <v>0.435441968992883</v>
      </c>
      <c r="K62" s="5" t="n">
        <f aca="false">IF(E62=1,I62^2,"")</f>
        <v>17684269.1213673</v>
      </c>
      <c r="L62" s="25" t="n">
        <f aca="false">IF(E62=1,(D62-$Q$4)/SQRT($Q$4*(1-$Q$4)/B62+$Q$11),"")</f>
        <v>0.187359648559932</v>
      </c>
      <c r="M62" s="26" t="n">
        <f aca="false">IF(H62="","",NORMSDIST(-H62))</f>
        <v>0.396906229804396</v>
      </c>
      <c r="N62" s="5" t="str">
        <f aca="false">IF(H62="","",IF(H62&gt;$Q$14,"Sim","Não"))</f>
        <v>Não</v>
      </c>
      <c r="O62" s="2"/>
      <c r="P62" s="2"/>
      <c r="Q62" s="2"/>
      <c r="R62" s="2"/>
      <c r="S62" s="2"/>
      <c r="T62" s="2"/>
      <c r="U62" s="2"/>
      <c r="V62" s="2"/>
      <c r="W62" s="2"/>
      <c r="X62" s="2"/>
    </row>
    <row r="63" customFormat="false" ht="15" hidden="false" customHeight="false" outlineLevel="0" collapsed="false">
      <c r="A63" s="24" t="str">
        <f aca="false">'Taxa de occisão'!A63</f>
        <v>Valongo</v>
      </c>
      <c r="B63" s="24" t="n">
        <f aca="false">'Taxa de occisão'!B63</f>
        <v>493</v>
      </c>
      <c r="C63" s="24" t="n">
        <f aca="false">'Taxa de occisão'!C63</f>
        <v>27</v>
      </c>
      <c r="D63" s="17" t="n">
        <f aca="false">C63/B63</f>
        <v>0.0547667342799189</v>
      </c>
      <c r="E63" s="5" t="n">
        <f aca="false">IF(B63&gt;=$Q$2,1,0)</f>
        <v>1</v>
      </c>
      <c r="F63" s="25" t="n">
        <f aca="false">IF(E63=1,(D63-$Q$4)/SQRT($Q$4*(1-$Q$4)/B63),"")</f>
        <v>1.03748056973172</v>
      </c>
      <c r="G63" s="25" t="n">
        <f aca="false">IF(F63="","",MAX(MIN(F63,$Q$6),$Q$5))</f>
        <v>1.03748056973172</v>
      </c>
      <c r="H63" s="25" t="n">
        <f aca="false">IF(F63="","",F63/SQRT($Q$7))</f>
        <v>0.410921827579069</v>
      </c>
      <c r="I63" s="5" t="n">
        <f aca="false">IF(E63=1,B63/($Q$4*(1-$Q$4)),"")</f>
        <v>11454.1245733066</v>
      </c>
      <c r="J63" s="5" t="n">
        <f aca="false">IF(E63=1,I63*(D63-$Q$4)^2,"")</f>
        <v>1.07636593257086</v>
      </c>
      <c r="K63" s="5" t="n">
        <f aca="false">IF(E63=1,I63^2,"")</f>
        <v>131196969.740826</v>
      </c>
      <c r="L63" s="25" t="n">
        <f aca="false">IF(E63=1,(D63-$Q$4)/SQRT($Q$4*(1-$Q$4)/B63+$Q$11),"")</f>
        <v>0.18322211680235</v>
      </c>
      <c r="M63" s="26" t="n">
        <f aca="false">IF(H63="","",NORMSDIST(-H63))</f>
        <v>0.340564928254331</v>
      </c>
      <c r="N63" s="5" t="str">
        <f aca="false">IF(H63="","",IF(H63&gt;$Q$14,"Sim","Não"))</f>
        <v>Não</v>
      </c>
      <c r="O63" s="2"/>
      <c r="P63" s="2"/>
      <c r="Q63" s="2"/>
      <c r="R63" s="2"/>
      <c r="S63" s="2"/>
      <c r="T63" s="2"/>
      <c r="U63" s="2"/>
      <c r="V63" s="2"/>
      <c r="W63" s="2"/>
      <c r="X63" s="2"/>
    </row>
    <row r="64" customFormat="false" ht="15" hidden="false" customHeight="false" outlineLevel="0" collapsed="false">
      <c r="A64" s="24" t="str">
        <f aca="false">'Taxa de occisão'!A64</f>
        <v>Beja</v>
      </c>
      <c r="B64" s="24" t="n">
        <f aca="false">'Taxa de occisão'!B64</f>
        <v>287</v>
      </c>
      <c r="C64" s="24" t="n">
        <f aca="false">'Taxa de occisão'!C64</f>
        <v>15</v>
      </c>
      <c r="D64" s="17" t="n">
        <f aca="false">C64/B64</f>
        <v>0.0522648083623693</v>
      </c>
      <c r="E64" s="5" t="n">
        <f aca="false">IF(B64&gt;=$Q$2,1,0)</f>
        <v>1</v>
      </c>
      <c r="F64" s="25" t="n">
        <f aca="false">IF(E64=1,(D64-$Q$4)/SQRT($Q$4*(1-$Q$4)/B64),"")</f>
        <v>0.587282700124766</v>
      </c>
      <c r="G64" s="25" t="n">
        <f aca="false">IF(F64="","",MAX(MIN(F64,$Q$6),$Q$5))</f>
        <v>0.587282700124766</v>
      </c>
      <c r="H64" s="25" t="n">
        <f aca="false">IF(F64="","",F64/SQRT($Q$7))</f>
        <v>0.232608963947386</v>
      </c>
      <c r="I64" s="5" t="n">
        <f aca="false">IF(E64=1,B64/($Q$4*(1-$Q$4)),"")</f>
        <v>6668.01978202635</v>
      </c>
      <c r="J64" s="5" t="n">
        <f aca="false">IF(E64=1,I64*(D64-$Q$4)^2,"")</f>
        <v>0.344900969865836</v>
      </c>
      <c r="K64" s="5" t="n">
        <f aca="false">IF(E64=1,I64^2,"")</f>
        <v>44462487.8134947</v>
      </c>
      <c r="L64" s="25" t="n">
        <f aca="false">IF(E64=1,(D64-$Q$4)/SQRT($Q$4*(1-$Q$4)/B64+$Q$11),"")</f>
        <v>0.134437412620892</v>
      </c>
      <c r="M64" s="26" t="n">
        <f aca="false">IF(H64="","",NORMSDIST(-H64))</f>
        <v>0.408032533003374</v>
      </c>
      <c r="N64" s="5" t="str">
        <f aca="false">IF(H64="","",IF(H64&gt;$Q$14,"Sim","Não"))</f>
        <v>Não</v>
      </c>
      <c r="O64" s="2"/>
      <c r="P64" s="2"/>
      <c r="Q64" s="2"/>
      <c r="R64" s="2"/>
      <c r="S64" s="2"/>
      <c r="T64" s="2"/>
      <c r="U64" s="2"/>
      <c r="V64" s="2"/>
      <c r="W64" s="2"/>
      <c r="X64" s="2"/>
    </row>
    <row r="65" customFormat="false" ht="15" hidden="false" customHeight="true" outlineLevel="0" collapsed="false">
      <c r="A65" s="24" t="str">
        <f aca="false">'Taxa de occisão'!A65</f>
        <v>Montemor-o-Velho</v>
      </c>
      <c r="B65" s="24" t="n">
        <f aca="false">'Taxa de occisão'!B65</f>
        <v>195</v>
      </c>
      <c r="C65" s="24" t="n">
        <f aca="false">'Taxa de occisão'!C65</f>
        <v>10</v>
      </c>
      <c r="D65" s="17" t="n">
        <f aca="false">C65/B65</f>
        <v>0.0512820512820513</v>
      </c>
      <c r="E65" s="5" t="n">
        <f aca="false">IF(B65&gt;=$Q$2,1,0)</f>
        <v>1</v>
      </c>
      <c r="F65" s="25" t="n">
        <f aca="false">IF(E65=1,(D65-$Q$4)/SQRT($Q$4*(1-$Q$4)/B65),"")</f>
        <v>0.417938512835374</v>
      </c>
      <c r="G65" s="25" t="n">
        <f aca="false">IF(F65="","",MAX(MIN(F65,$Q$6),$Q$5))</f>
        <v>0.417938512835374</v>
      </c>
      <c r="H65" s="25" t="n">
        <f aca="false">IF(F65="","",F65/SQRT($Q$7))</f>
        <v>0.165535685699058</v>
      </c>
      <c r="I65" s="5" t="n">
        <f aca="false">IF(E65=1,B65/($Q$4*(1-$Q$4)),"")</f>
        <v>4530.53608883323</v>
      </c>
      <c r="J65" s="5" t="n">
        <f aca="false">IF(E65=1,I65*(D65-$Q$4)^2,"")</f>
        <v>0.174672600511044</v>
      </c>
      <c r="K65" s="5" t="n">
        <f aca="false">IF(E65=1,I65^2,"")</f>
        <v>20525757.2522203</v>
      </c>
      <c r="L65" s="25" t="n">
        <f aca="false">IF(E65=1,(D65-$Q$4)/SQRT($Q$4*(1-$Q$4)/B65+$Q$11),"")</f>
        <v>0.11465836812049</v>
      </c>
      <c r="M65" s="26" t="n">
        <f aca="false">IF(H65="","",NORMSDIST(-H65))</f>
        <v>0.434261182065652</v>
      </c>
      <c r="N65" s="5" t="str">
        <f aca="false">IF(H65="","",IF(H65&gt;$Q$14,"Sim","Não"))</f>
        <v>Não</v>
      </c>
      <c r="O65" s="2"/>
      <c r="P65" s="11" t="s">
        <v>259</v>
      </c>
      <c r="Q65" s="11"/>
      <c r="R65" s="2"/>
      <c r="S65" s="2"/>
      <c r="T65" s="2"/>
      <c r="U65" s="2"/>
      <c r="V65" s="2"/>
      <c r="W65" s="2"/>
      <c r="X65" s="2"/>
    </row>
    <row r="66" customFormat="false" ht="48" hidden="false" customHeight="true" outlineLevel="0" collapsed="false">
      <c r="A66" s="24" t="str">
        <f aca="false">'Taxa de occisão'!A66</f>
        <v>Gondomar</v>
      </c>
      <c r="B66" s="24" t="n">
        <f aca="false">'Taxa de occisão'!B66</f>
        <v>158</v>
      </c>
      <c r="C66" s="24" t="n">
        <f aca="false">'Taxa de occisão'!C66</f>
        <v>8</v>
      </c>
      <c r="D66" s="17" t="n">
        <f aca="false">C66/B66</f>
        <v>0.0506329113924051</v>
      </c>
      <c r="E66" s="5" t="n">
        <f aca="false">IF(B66&gt;=$Q$2,1,0)</f>
        <v>1</v>
      </c>
      <c r="F66" s="25" t="n">
        <f aca="false">IF(E66=1,(D66-$Q$4)/SQRT($Q$4*(1-$Q$4)/B66),"")</f>
        <v>0.336874157299977</v>
      </c>
      <c r="G66" s="25" t="n">
        <f aca="false">IF(F66="","",MAX(MIN(F66,$Q$6),$Q$5))</f>
        <v>0.336874157299977</v>
      </c>
      <c r="H66" s="25" t="n">
        <f aca="false">IF(F66="","",F66/SQRT($Q$7))</f>
        <v>0.133427987396102</v>
      </c>
      <c r="I66" s="5" t="n">
        <f aca="false">IF(E66=1,B66/($Q$4*(1-$Q$4)),"")</f>
        <v>3670.89590787513</v>
      </c>
      <c r="J66" s="5" t="n">
        <f aca="false">IF(E66=1,I66*(D66-$Q$4)^2,"")</f>
        <v>0.11348419785657</v>
      </c>
      <c r="K66" s="5" t="n">
        <f aca="false">IF(E66=1,I66^2,"")</f>
        <v>13475476.7664544</v>
      </c>
      <c r="L66" s="25" t="n">
        <f aca="false">IF(E66=1,(D66-$Q$4)/SQRT($Q$4*(1-$Q$4)/B66+$Q$11),"")</f>
        <v>0.101778470103466</v>
      </c>
      <c r="M66" s="26" t="n">
        <f aca="false">IF(H66="","",NORMSDIST(-H66))</f>
        <v>0.446927456275411</v>
      </c>
      <c r="N66" s="5" t="str">
        <f aca="false">IF(H66="","",IF(H66&gt;$Q$14,"Sim","Não"))</f>
        <v>Não</v>
      </c>
      <c r="O66" s="2"/>
      <c r="P66" s="12" t="s">
        <v>260</v>
      </c>
      <c r="Q66" s="12"/>
      <c r="R66" s="2"/>
      <c r="S66" s="2"/>
      <c r="T66" s="2"/>
      <c r="U66" s="2"/>
      <c r="V66" s="2"/>
      <c r="W66" s="2"/>
      <c r="X66" s="2"/>
    </row>
    <row r="67" customFormat="false" ht="48" hidden="false" customHeight="true" outlineLevel="0" collapsed="false">
      <c r="A67" s="24" t="str">
        <f aca="false">'Taxa de occisão'!A67</f>
        <v>Seixal</v>
      </c>
      <c r="B67" s="24" t="n">
        <f aca="false">'Taxa de occisão'!B67</f>
        <v>99</v>
      </c>
      <c r="C67" s="24" t="n">
        <f aca="false">'Taxa de occisão'!C67</f>
        <v>5</v>
      </c>
      <c r="D67" s="17" t="n">
        <f aca="false">C67/B67</f>
        <v>0.0505050505050505</v>
      </c>
      <c r="E67" s="5" t="n">
        <f aca="false">IF(B67&gt;=$Q$2,1,0)</f>
        <v>1</v>
      </c>
      <c r="F67" s="25" t="n">
        <f aca="false">IF(E67=1,(D67-$Q$4)/SQRT($Q$4*(1-$Q$4)/B67),"")</f>
        <v>0.260527158884965</v>
      </c>
      <c r="G67" s="25" t="n">
        <f aca="false">IF(F67="","",MAX(MIN(F67,$Q$6),$Q$5))</f>
        <v>0.260527158884965</v>
      </c>
      <c r="H67" s="25" t="n">
        <f aca="false">IF(F67="","",F67/SQRT($Q$7))</f>
        <v>0.103188724094058</v>
      </c>
      <c r="I67" s="5" t="n">
        <f aca="false">IF(E67=1,B67/($Q$4*(1-$Q$4)),"")</f>
        <v>2300.11832202303</v>
      </c>
      <c r="J67" s="5" t="n">
        <f aca="false">IF(E67=1,I67*(D67-$Q$4)^2,"")</f>
        <v>0.0678744005166719</v>
      </c>
      <c r="K67" s="5" t="n">
        <f aca="false">IF(E67=1,I67^2,"")</f>
        <v>5290544.29530602</v>
      </c>
      <c r="L67" s="25" t="n">
        <f aca="false">IF(E67=1,(D67-$Q$4)/SQRT($Q$4*(1-$Q$4)/B67+$Q$11),"")</f>
        <v>0.0968388489573031</v>
      </c>
      <c r="M67" s="26" t="n">
        <f aca="false">IF(H67="","",NORMSDIST(-H67))</f>
        <v>0.45890659450363</v>
      </c>
      <c r="N67" s="5" t="str">
        <f aca="false">IF(H67="","",IF(H67&gt;$Q$14,"Sim","Não"))</f>
        <v>Não</v>
      </c>
      <c r="O67" s="2"/>
      <c r="P67" s="12" t="s">
        <v>261</v>
      </c>
      <c r="Q67" s="12"/>
      <c r="R67" s="2"/>
      <c r="S67" s="2"/>
      <c r="T67" s="2"/>
      <c r="U67" s="2"/>
      <c r="V67" s="2"/>
      <c r="W67" s="2"/>
      <c r="X67" s="2"/>
    </row>
    <row r="68" customFormat="false" ht="48" hidden="false" customHeight="true" outlineLevel="0" collapsed="false">
      <c r="A68" s="24" t="str">
        <f aca="false">'Taxa de occisão'!A68</f>
        <v>Alandroal</v>
      </c>
      <c r="B68" s="24" t="n">
        <f aca="false">'Taxa de occisão'!B68</f>
        <v>20</v>
      </c>
      <c r="C68" s="24" t="n">
        <f aca="false">'Taxa de occisão'!C68</f>
        <v>1</v>
      </c>
      <c r="D68" s="17" t="n">
        <f aca="false">C68/B68</f>
        <v>0.05</v>
      </c>
      <c r="E68" s="5" t="n">
        <f aca="false">IF(B68&gt;=$Q$2,1,0)</f>
        <v>1</v>
      </c>
      <c r="F68" s="25" t="n">
        <f aca="false">IF(E68=1,(D68-$Q$4)/SQRT($Q$4*(1-$Q$4)/B68),"")</f>
        <v>0.106211272953317</v>
      </c>
      <c r="G68" s="25" t="n">
        <f aca="false">IF(F68="","",MAX(MIN(F68,$Q$6),$Q$5))</f>
        <v>0.106211272953317</v>
      </c>
      <c r="H68" s="25" t="n">
        <f aca="false">IF(F68="","",F68/SQRT($Q$7))</f>
        <v>0.0420678050893641</v>
      </c>
      <c r="I68" s="5" t="n">
        <f aca="false">IF(E68=1,B68/($Q$4*(1-$Q$4)),"")</f>
        <v>464.67036808546</v>
      </c>
      <c r="J68" s="5" t="n">
        <f aca="false">IF(E68=1,I68*(D68-$Q$4)^2,"")</f>
        <v>0.0112808345023641</v>
      </c>
      <c r="K68" s="5" t="n">
        <f aca="false">IF(E68=1,I68^2,"")</f>
        <v>215918.550976677</v>
      </c>
      <c r="L68" s="25" t="n">
        <f aca="false">IF(E68=1,(D68-$Q$4)/SQRT($Q$4*(1-$Q$4)/B68+$Q$11),"")</f>
        <v>0.0706481517365747</v>
      </c>
      <c r="M68" s="26" t="n">
        <f aca="false">IF(H68="","",NORMSDIST(-H68))</f>
        <v>0.483222322628627</v>
      </c>
      <c r="N68" s="5" t="str">
        <f aca="false">IF(H68="","",IF(H68&gt;$Q$14,"Sim","Não"))</f>
        <v>Não</v>
      </c>
      <c r="O68" s="2"/>
      <c r="P68" s="12" t="s">
        <v>262</v>
      </c>
      <c r="Q68" s="12"/>
      <c r="R68" s="2"/>
      <c r="S68" s="2"/>
      <c r="T68" s="2"/>
      <c r="U68" s="2"/>
      <c r="V68" s="2"/>
      <c r="W68" s="2"/>
      <c r="X68" s="2"/>
    </row>
    <row r="69" customFormat="false" ht="48" hidden="false" customHeight="true" outlineLevel="0" collapsed="false">
      <c r="A69" s="24" t="str">
        <f aca="false">'Taxa de occisão'!A69</f>
        <v>Vimioso</v>
      </c>
      <c r="B69" s="24" t="n">
        <f aca="false">'Taxa de occisão'!B69</f>
        <v>20</v>
      </c>
      <c r="C69" s="24" t="n">
        <f aca="false">'Taxa de occisão'!C69</f>
        <v>1</v>
      </c>
      <c r="D69" s="17" t="n">
        <f aca="false">C69/B69</f>
        <v>0.05</v>
      </c>
      <c r="E69" s="5" t="n">
        <f aca="false">IF(B69&gt;=$Q$2,1,0)</f>
        <v>1</v>
      </c>
      <c r="F69" s="25" t="n">
        <f aca="false">IF(E69=1,(D69-$Q$4)/SQRT($Q$4*(1-$Q$4)/B69),"")</f>
        <v>0.106211272953317</v>
      </c>
      <c r="G69" s="25" t="n">
        <f aca="false">IF(F69="","",MAX(MIN(F69,$Q$6),$Q$5))</f>
        <v>0.106211272953317</v>
      </c>
      <c r="H69" s="25" t="n">
        <f aca="false">IF(F69="","",F69/SQRT($Q$7))</f>
        <v>0.0420678050893641</v>
      </c>
      <c r="I69" s="5" t="n">
        <f aca="false">IF(E69=1,B69/($Q$4*(1-$Q$4)),"")</f>
        <v>464.67036808546</v>
      </c>
      <c r="J69" s="5" t="n">
        <f aca="false">IF(E69=1,I69*(D69-$Q$4)^2,"")</f>
        <v>0.0112808345023641</v>
      </c>
      <c r="K69" s="5" t="n">
        <f aca="false">IF(E69=1,I69^2,"")</f>
        <v>215918.550976677</v>
      </c>
      <c r="L69" s="25" t="n">
        <f aca="false">IF(E69=1,(D69-$Q$4)/SQRT($Q$4*(1-$Q$4)/B69+$Q$11),"")</f>
        <v>0.0706481517365747</v>
      </c>
      <c r="M69" s="26" t="n">
        <f aca="false">IF(H69="","",NORMSDIST(-H69))</f>
        <v>0.483222322628627</v>
      </c>
      <c r="N69" s="5" t="str">
        <f aca="false">IF(H69="","",IF(H69&gt;$Q$14,"Sim","Não"))</f>
        <v>Não</v>
      </c>
      <c r="O69" s="2"/>
      <c r="P69" s="12" t="s">
        <v>263</v>
      </c>
      <c r="Q69" s="12"/>
      <c r="R69" s="2"/>
      <c r="S69" s="2"/>
      <c r="T69" s="2"/>
      <c r="U69" s="2"/>
      <c r="V69" s="2"/>
      <c r="W69" s="2"/>
      <c r="X69" s="2"/>
    </row>
    <row r="70" customFormat="false" ht="48" hidden="false" customHeight="true" outlineLevel="0" collapsed="false">
      <c r="A70" s="24" t="str">
        <f aca="false">'Taxa de occisão'!A70</f>
        <v>Lisboa</v>
      </c>
      <c r="B70" s="24" t="n">
        <f aca="false">'Taxa de occisão'!B70</f>
        <v>2554</v>
      </c>
      <c r="C70" s="24" t="n">
        <f aca="false">'Taxa de occisão'!C70</f>
        <v>122</v>
      </c>
      <c r="D70" s="17" t="n">
        <f aca="false">C70/B70</f>
        <v>0.0477682067345341</v>
      </c>
      <c r="E70" s="5" t="n">
        <f aca="false">IF(B70&gt;=$Q$2,1,0)</f>
        <v>1</v>
      </c>
      <c r="F70" s="25" t="n">
        <f aca="false">IF(E70=1,(D70-$Q$4)/SQRT($Q$4*(1-$Q$4)/B70),"")</f>
        <v>0.656581239735974</v>
      </c>
      <c r="G70" s="25" t="n">
        <f aca="false">IF(F70="","",MAX(MIN(F70,$Q$6),$Q$5))</f>
        <v>0.656581239735974</v>
      </c>
      <c r="H70" s="25" t="n">
        <f aca="false">IF(F70="","",F70/SQRT($Q$7))</f>
        <v>0.26005649730501</v>
      </c>
      <c r="I70" s="5" t="n">
        <f aca="false">IF(E70=1,B70/($Q$4*(1-$Q$4)),"")</f>
        <v>59338.4060045132</v>
      </c>
      <c r="J70" s="5" t="n">
        <f aca="false">IF(E70=1,I70*(D70-$Q$4)^2,"")</f>
        <v>0.431098924373229</v>
      </c>
      <c r="K70" s="5" t="n">
        <f aca="false">IF(E70=1,I70^2,"")</f>
        <v>3521046427.15645</v>
      </c>
      <c r="L70" s="25" t="n">
        <f aca="false">IF(E70=1,(D70-$Q$4)/SQRT($Q$4*(1-$Q$4)/B70+$Q$11),"")</f>
        <v>0.0515982026138957</v>
      </c>
      <c r="M70" s="26" t="n">
        <f aca="false">IF(H70="","",NORMSDIST(-H70))</f>
        <v>0.397410096887344</v>
      </c>
      <c r="N70" s="5" t="str">
        <f aca="false">IF(H70="","",IF(H70&gt;$Q$14,"Sim","Não"))</f>
        <v>Não</v>
      </c>
      <c r="O70" s="2"/>
      <c r="P70" s="12" t="s">
        <v>264</v>
      </c>
      <c r="Q70" s="12"/>
      <c r="R70" s="2"/>
      <c r="S70" s="2"/>
      <c r="T70" s="2"/>
      <c r="U70" s="2"/>
      <c r="V70" s="2"/>
      <c r="W70" s="2"/>
      <c r="X70" s="2"/>
    </row>
    <row r="71" customFormat="false" ht="48" hidden="false" customHeight="true" outlineLevel="0" collapsed="false">
      <c r="A71" s="24" t="str">
        <f aca="false">'Taxa de occisão'!A71</f>
        <v>Tarouca</v>
      </c>
      <c r="B71" s="24" t="n">
        <f aca="false">'Taxa de occisão'!B71</f>
        <v>105</v>
      </c>
      <c r="C71" s="24" t="n">
        <f aca="false">'Taxa de occisão'!C71</f>
        <v>5</v>
      </c>
      <c r="D71" s="17" t="n">
        <f aca="false">C71/B71</f>
        <v>0.0476190476190476</v>
      </c>
      <c r="E71" s="5" t="n">
        <f aca="false">IF(B71&gt;=$Q$2,1,0)</f>
        <v>1</v>
      </c>
      <c r="F71" s="25" t="n">
        <f aca="false">IF(E71=1,(D71-$Q$4)/SQRT($Q$4*(1-$Q$4)/B71),"")</f>
        <v>0.125761809700898</v>
      </c>
      <c r="G71" s="25" t="n">
        <f aca="false">IF(F71="","",MAX(MIN(F71,$Q$6),$Q$5))</f>
        <v>0.125761809700898</v>
      </c>
      <c r="H71" s="25" t="n">
        <f aca="false">IF(F71="","",F71/SQRT($Q$7))</f>
        <v>0.0498113161727044</v>
      </c>
      <c r="I71" s="5" t="n">
        <f aca="false">IF(E71=1,B71/($Q$4*(1-$Q$4)),"")</f>
        <v>2439.51943244866</v>
      </c>
      <c r="J71" s="5" t="n">
        <f aca="false">IF(E71=1,I71*(D71-$Q$4)^2,"")</f>
        <v>0.015816032779245</v>
      </c>
      <c r="K71" s="5" t="n">
        <f aca="false">IF(E71=1,I71^2,"")</f>
        <v>5951255.06129465</v>
      </c>
      <c r="L71" s="25" t="n">
        <f aca="false">IF(E71=1,(D71-$Q$4)/SQRT($Q$4*(1-$Q$4)/B71+$Q$11),"")</f>
        <v>0.0455711023537961</v>
      </c>
      <c r="M71" s="26" t="n">
        <f aca="false">IF(H71="","",NORMSDIST(-H71))</f>
        <v>0.480136374438488</v>
      </c>
      <c r="N71" s="5" t="str">
        <f aca="false">IF(H71="","",IF(H71&gt;$Q$14,"Sim","Não"))</f>
        <v>Não</v>
      </c>
      <c r="O71" s="2"/>
      <c r="P71" s="12" t="s">
        <v>265</v>
      </c>
      <c r="Q71" s="12"/>
      <c r="R71" s="2"/>
      <c r="S71" s="2"/>
      <c r="T71" s="2"/>
      <c r="U71" s="2"/>
      <c r="V71" s="2"/>
      <c r="W71" s="2"/>
      <c r="X71" s="2"/>
    </row>
    <row r="72" customFormat="false" ht="48" hidden="false" customHeight="true" outlineLevel="0" collapsed="false">
      <c r="A72" s="24" t="str">
        <f aca="false">'Taxa de occisão'!A72</f>
        <v>Barcelos</v>
      </c>
      <c r="B72" s="24" t="n">
        <f aca="false">'Taxa de occisão'!B72</f>
        <v>254</v>
      </c>
      <c r="C72" s="24" t="n">
        <f aca="false">'Taxa de occisão'!C72</f>
        <v>12</v>
      </c>
      <c r="D72" s="17" t="n">
        <f aca="false">C72/B72</f>
        <v>0.047244094488189</v>
      </c>
      <c r="E72" s="5" t="n">
        <f aca="false">IF(B72&gt;=$Q$2,1,0)</f>
        <v>1</v>
      </c>
      <c r="F72" s="25" t="n">
        <f aca="false">IF(E72=1,(D72-$Q$4)/SQRT($Q$4*(1-$Q$4)/B72),"")</f>
        <v>0.166797059637569</v>
      </c>
      <c r="G72" s="25" t="n">
        <f aca="false">IF(F72="","",MAX(MIN(F72,$Q$6),$Q$5))</f>
        <v>0.166797059637569</v>
      </c>
      <c r="H72" s="25" t="n">
        <f aca="false">IF(F72="","",F72/SQRT($Q$7))</f>
        <v>0.0660644204631307</v>
      </c>
      <c r="I72" s="5" t="n">
        <f aca="false">IF(E72=1,B72/($Q$4*(1-$Q$4)),"")</f>
        <v>5901.31367468534</v>
      </c>
      <c r="J72" s="5" t="n">
        <f aca="false">IF(E72=1,I72*(D72-$Q$4)^2,"")</f>
        <v>0.0278212591037387</v>
      </c>
      <c r="K72" s="5" t="n">
        <f aca="false">IF(E72=1,I72^2,"")</f>
        <v>34825503.0870282</v>
      </c>
      <c r="L72" s="25" t="n">
        <f aca="false">IF(E72=1,(D72-$Q$4)/SQRT($Q$4*(1-$Q$4)/B72+$Q$11),"")</f>
        <v>0.0404493984340263</v>
      </c>
      <c r="M72" s="26" t="n">
        <f aca="false">IF(H72="","",NORMSDIST(-H72))</f>
        <v>0.473663268649934</v>
      </c>
      <c r="N72" s="5" t="str">
        <f aca="false">IF(H72="","",IF(H72&gt;$Q$14,"Sim","Não"))</f>
        <v>Não</v>
      </c>
      <c r="O72" s="2"/>
      <c r="P72" s="12" t="s">
        <v>266</v>
      </c>
      <c r="Q72" s="12"/>
      <c r="R72" s="2"/>
      <c r="S72" s="2"/>
      <c r="T72" s="2"/>
      <c r="U72" s="2"/>
      <c r="V72" s="2"/>
      <c r="W72" s="2"/>
      <c r="X72" s="2"/>
    </row>
    <row r="73" customFormat="false" ht="15" hidden="false" customHeight="false" outlineLevel="0" collapsed="false">
      <c r="A73" s="24" t="str">
        <f aca="false">'Taxa de occisão'!A73</f>
        <v>Ourique</v>
      </c>
      <c r="B73" s="24" t="n">
        <f aca="false">'Taxa de occisão'!B73</f>
        <v>44</v>
      </c>
      <c r="C73" s="24" t="n">
        <f aca="false">'Taxa de occisão'!C73</f>
        <v>2</v>
      </c>
      <c r="D73" s="17" t="n">
        <f aca="false">C73/B73</f>
        <v>0.0454545454545455</v>
      </c>
      <c r="E73" s="5" t="n">
        <f aca="false">IF(B73&gt;=$Q$2,1,0)</f>
        <v>1</v>
      </c>
      <c r="F73" s="25" t="n">
        <f aca="false">IF(E73=1,(D73-$Q$4)/SQRT($Q$4*(1-$Q$4)/B73),"")</f>
        <v>0.0122048102679994</v>
      </c>
      <c r="G73" s="25" t="n">
        <f aca="false">IF(F73="","",MAX(MIN(F73,$Q$6),$Q$5))</f>
        <v>0.0122048102679994</v>
      </c>
      <c r="H73" s="25" t="n">
        <f aca="false">IF(F73="","",F73/SQRT($Q$7))</f>
        <v>0.00483404035400774</v>
      </c>
      <c r="I73" s="5" t="n">
        <f aca="false">IF(E73=1,B73/($Q$4*(1-$Q$4)),"")</f>
        <v>1022.27480978801</v>
      </c>
      <c r="J73" s="5" t="n">
        <f aca="false">IF(E73=1,I73*(D73-$Q$4)^2,"")</f>
        <v>0.000148957393677862</v>
      </c>
      <c r="K73" s="5" t="n">
        <f aca="false">IF(E73=1,I73^2,"")</f>
        <v>1045045.78672712</v>
      </c>
      <c r="L73" s="25" t="n">
        <f aca="false">IF(E73=1,(D73-$Q$4)/SQRT($Q$4*(1-$Q$4)/B73+$Q$11),"")</f>
        <v>0.00628383309361047</v>
      </c>
      <c r="M73" s="26" t="n">
        <f aca="false">IF(H73="","",NORMSDIST(-H73))</f>
        <v>0.498071504428453</v>
      </c>
      <c r="N73" s="5" t="str">
        <f aca="false">IF(H73="","",IF(H73&gt;$Q$14,"Sim","Não"))</f>
        <v>Não</v>
      </c>
      <c r="O73" s="2"/>
      <c r="P73" s="2"/>
      <c r="Q73" s="2"/>
      <c r="R73" s="2"/>
      <c r="S73" s="2"/>
      <c r="T73" s="2"/>
      <c r="U73" s="2"/>
      <c r="V73" s="2"/>
      <c r="W73" s="2"/>
      <c r="X73" s="2"/>
    </row>
    <row r="74" customFormat="false" ht="15" hidden="false" customHeight="false" outlineLevel="0" collapsed="false">
      <c r="A74" s="24" t="str">
        <f aca="false">'Taxa de occisão'!A74</f>
        <v>Vila Nova de Cerveira</v>
      </c>
      <c r="B74" s="24" t="n">
        <f aca="false">'Taxa de occisão'!B74</f>
        <v>22</v>
      </c>
      <c r="C74" s="24" t="n">
        <f aca="false">'Taxa de occisão'!C74</f>
        <v>1</v>
      </c>
      <c r="D74" s="17" t="n">
        <f aca="false">C74/B74</f>
        <v>0.0454545454545455</v>
      </c>
      <c r="E74" s="5" t="n">
        <f aca="false">IF(B74&gt;=$Q$2,1,0)</f>
        <v>1</v>
      </c>
      <c r="F74" s="25" t="n">
        <f aca="false">IF(E74=1,(D74-$Q$4)/SQRT($Q$4*(1-$Q$4)/B74),"")</f>
        <v>0.00863010410359755</v>
      </c>
      <c r="G74" s="25" t="n">
        <f aca="false">IF(F74="","",MAX(MIN(F74,$Q$6),$Q$5))</f>
        <v>0.00863010410359755</v>
      </c>
      <c r="H74" s="25" t="n">
        <f aca="false">IF(F74="","",F74/SQRT($Q$7))</f>
        <v>0.00341818271484829</v>
      </c>
      <c r="I74" s="5" t="n">
        <f aca="false">IF(E74=1,B74/($Q$4*(1-$Q$4)),"")</f>
        <v>511.137404894006</v>
      </c>
      <c r="J74" s="5" t="n">
        <f aca="false">IF(E74=1,I74*(D74-$Q$4)^2,"")</f>
        <v>7.44786968389312E-005</v>
      </c>
      <c r="K74" s="5" t="n">
        <f aca="false">IF(E74=1,I74^2,"")</f>
        <v>261261.446681779</v>
      </c>
      <c r="L74" s="25" t="n">
        <f aca="false">IF(E74=1,(D74-$Q$4)/SQRT($Q$4*(1-$Q$4)/B74+$Q$11),"")</f>
        <v>0.00558681861736086</v>
      </c>
      <c r="M74" s="26" t="n">
        <f aca="false">IF(H74="","",NORMSDIST(-H74))</f>
        <v>0.498636345048395</v>
      </c>
      <c r="N74" s="5" t="str">
        <f aca="false">IF(H74="","",IF(H74&gt;$Q$14,"Sim","Não"))</f>
        <v>Não</v>
      </c>
      <c r="O74" s="2"/>
      <c r="P74" s="2"/>
      <c r="Q74" s="2"/>
      <c r="R74" s="2"/>
      <c r="S74" s="2"/>
      <c r="T74" s="2"/>
      <c r="U74" s="2"/>
      <c r="V74" s="2"/>
      <c r="W74" s="2"/>
      <c r="X74" s="2"/>
    </row>
    <row r="75" customFormat="false" ht="15" hidden="false" customHeight="false" outlineLevel="0" collapsed="false">
      <c r="A75" s="24" t="str">
        <f aca="false">'Taxa de occisão'!A75</f>
        <v>Alfândega da Fé</v>
      </c>
      <c r="B75" s="24" t="n">
        <f aca="false">'Taxa de occisão'!B75</f>
        <v>114</v>
      </c>
      <c r="C75" s="24" t="n">
        <f aca="false">'Taxa de occisão'!C75</f>
        <v>5</v>
      </c>
      <c r="D75" s="17" t="n">
        <f aca="false">C75/B75</f>
        <v>0.043859649122807</v>
      </c>
      <c r="E75" s="5" t="n">
        <f aca="false">IF(B75&gt;=$Q$2,1,0)</f>
        <v>1</v>
      </c>
      <c r="F75" s="25" t="n">
        <f aca="false">IF(E75=1,(D75-$Q$4)/SQRT($Q$4*(1-$Q$4)/B75),"")</f>
        <v>-0.0624357202776676</v>
      </c>
      <c r="G75" s="25" t="n">
        <f aca="false">IF(F75="","",MAX(MIN(F75,$Q$6),$Q$5))</f>
        <v>-0.0624357202776676</v>
      </c>
      <c r="H75" s="25" t="n">
        <f aca="false">IF(F75="","",F75/SQRT($Q$7))</f>
        <v>-0.0247293308725281</v>
      </c>
      <c r="I75" s="5" t="n">
        <f aca="false">IF(E75=1,B75/($Q$4*(1-$Q$4)),"")</f>
        <v>2648.62109808712</v>
      </c>
      <c r="J75" s="5" t="n">
        <f aca="false">IF(E75=1,I75*(D75-$Q$4)^2,"")</f>
        <v>0.00389821916659115</v>
      </c>
      <c r="K75" s="5" t="n">
        <f aca="false">IF(E75=1,I75^2,"")</f>
        <v>7015193.72123223</v>
      </c>
      <c r="L75" s="25" t="n">
        <f aca="false">IF(E75=1,(D75-$Q$4)/SQRT($Q$4*(1-$Q$4)/B75+$Q$11),"")</f>
        <v>-0.0218262358620133</v>
      </c>
      <c r="M75" s="26" t="n">
        <f aca="false">IF(H75="","",NORMSDIST(-H75))</f>
        <v>0.509864570211284</v>
      </c>
      <c r="N75" s="5" t="str">
        <f aca="false">IF(H75="","",IF(H75&gt;$Q$14,"Sim","Não"))</f>
        <v>Não</v>
      </c>
      <c r="O75" s="2"/>
      <c r="P75" s="2"/>
      <c r="Q75" s="2"/>
      <c r="R75" s="2"/>
      <c r="S75" s="2"/>
      <c r="T75" s="2"/>
      <c r="U75" s="2"/>
      <c r="V75" s="2"/>
      <c r="W75" s="2"/>
      <c r="X75" s="2"/>
    </row>
    <row r="76" customFormat="false" ht="15" hidden="false" customHeight="false" outlineLevel="0" collapsed="false">
      <c r="A76" s="24" t="str">
        <f aca="false">'Taxa de occisão'!A76</f>
        <v>Almada</v>
      </c>
      <c r="B76" s="24" t="n">
        <f aca="false">'Taxa de occisão'!B76</f>
        <v>671</v>
      </c>
      <c r="C76" s="24" t="n">
        <f aca="false">'Taxa de occisão'!C76</f>
        <v>29</v>
      </c>
      <c r="D76" s="17" t="n">
        <f aca="false">C76/B76</f>
        <v>0.0432190760059613</v>
      </c>
      <c r="E76" s="5" t="n">
        <f aca="false">IF(B76&gt;=$Q$2,1,0)</f>
        <v>1</v>
      </c>
      <c r="F76" s="25" t="n">
        <f aca="false">IF(E76=1,(D76-$Q$4)/SQRT($Q$4*(1-$Q$4)/B76),"")</f>
        <v>-0.23145646466966</v>
      </c>
      <c r="G76" s="25" t="n">
        <f aca="false">IF(F76="","",MAX(MIN(F76,$Q$6),$Q$5))</f>
        <v>-0.23145646466966</v>
      </c>
      <c r="H76" s="25" t="n">
        <f aca="false">IF(F76="","",F76/SQRT($Q$7))</f>
        <v>-0.0916745009418744</v>
      </c>
      <c r="I76" s="5" t="n">
        <f aca="false">IF(E76=1,B76/($Q$4*(1-$Q$4)),"")</f>
        <v>15589.6908492672</v>
      </c>
      <c r="J76" s="5" t="n">
        <f aca="false">IF(E76=1,I76*(D76-$Q$4)^2,"")</f>
        <v>0.0535720950373778</v>
      </c>
      <c r="K76" s="5" t="n">
        <f aca="false">IF(E76=1,I76^2,"")</f>
        <v>243038460.775725</v>
      </c>
      <c r="L76" s="25" t="n">
        <f aca="false">IF(E76=1,(D76-$Q$4)/SQRT($Q$4*(1-$Q$4)/B76+$Q$11),"")</f>
        <v>-0.0351830509437758</v>
      </c>
      <c r="M76" s="26" t="n">
        <f aca="false">IF(H76="","",NORMSDIST(-H76))</f>
        <v>0.536521671319769</v>
      </c>
      <c r="N76" s="5" t="str">
        <f aca="false">IF(H76="","",IF(H76&gt;$Q$14,"Sim","Não"))</f>
        <v>Não</v>
      </c>
      <c r="O76" s="2"/>
      <c r="P76" s="2"/>
      <c r="Q76" s="2"/>
      <c r="R76" s="2"/>
      <c r="S76" s="2"/>
      <c r="T76" s="2"/>
      <c r="U76" s="2"/>
      <c r="V76" s="2"/>
      <c r="W76" s="2"/>
      <c r="X76" s="2"/>
    </row>
    <row r="77" customFormat="false" ht="15" hidden="false" customHeight="false" outlineLevel="0" collapsed="false">
      <c r="A77" s="24" t="str">
        <f aca="false">'Taxa de occisão'!A77</f>
        <v>Santa Cruz</v>
      </c>
      <c r="B77" s="24" t="n">
        <f aca="false">'Taxa de occisão'!B77</f>
        <v>214</v>
      </c>
      <c r="C77" s="24" t="n">
        <f aca="false">'Taxa de occisão'!C77</f>
        <v>9</v>
      </c>
      <c r="D77" s="17" t="n">
        <f aca="false">C77/B77</f>
        <v>0.0420560747663551</v>
      </c>
      <c r="E77" s="5" t="n">
        <f aca="false">IF(B77&gt;=$Q$2,1,0)</f>
        <v>1</v>
      </c>
      <c r="F77" s="25" t="n">
        <f aca="false">IF(E77=1,(D77-$Q$4)/SQRT($Q$4*(1-$Q$4)/B77),"")</f>
        <v>-0.212717641497168</v>
      </c>
      <c r="G77" s="25" t="n">
        <f aca="false">IF(F77="","",MAX(MIN(F77,$Q$6),$Q$5))</f>
        <v>-0.212717641497168</v>
      </c>
      <c r="H77" s="25" t="n">
        <f aca="false">IF(F77="","",F77/SQRT($Q$7))</f>
        <v>-0.0842524906513948</v>
      </c>
      <c r="I77" s="5" t="n">
        <f aca="false">IF(E77=1,B77/($Q$4*(1-$Q$4)),"")</f>
        <v>4971.97293851442</v>
      </c>
      <c r="J77" s="5" t="n">
        <f aca="false">IF(E77=1,I77*(D77-$Q$4)^2,"")</f>
        <v>0.0452487950041178</v>
      </c>
      <c r="K77" s="5" t="n">
        <f aca="false">IF(E77=1,I77^2,"")</f>
        <v>24720514.9013197</v>
      </c>
      <c r="L77" s="25" t="n">
        <f aca="false">IF(E77=1,(D77-$Q$4)/SQRT($Q$4*(1-$Q$4)/B77+$Q$11),"")</f>
        <v>-0.0558937446224119</v>
      </c>
      <c r="M77" s="26" t="n">
        <f aca="false">IF(H77="","",NORMSDIST(-H77))</f>
        <v>0.53357215749938</v>
      </c>
      <c r="N77" s="5" t="str">
        <f aca="false">IF(H77="","",IF(H77&gt;$Q$14,"Sim","Não"))</f>
        <v>Não</v>
      </c>
      <c r="O77" s="2"/>
      <c r="P77" s="2"/>
      <c r="Q77" s="2"/>
      <c r="R77" s="2"/>
      <c r="S77" s="2"/>
      <c r="T77" s="2"/>
      <c r="U77" s="2"/>
      <c r="V77" s="2"/>
      <c r="W77" s="2"/>
      <c r="X77" s="2"/>
    </row>
    <row r="78" customFormat="false" ht="15" hidden="false" customHeight="false" outlineLevel="0" collapsed="false">
      <c r="A78" s="24" t="str">
        <f aca="false">'Taxa de occisão'!A78</f>
        <v>Lamego</v>
      </c>
      <c r="B78" s="24" t="n">
        <f aca="false">'Taxa de occisão'!B78</f>
        <v>385</v>
      </c>
      <c r="C78" s="24" t="n">
        <f aca="false">'Taxa de occisão'!C78</f>
        <v>16</v>
      </c>
      <c r="D78" s="17" t="n">
        <f aca="false">C78/B78</f>
        <v>0.0415584415584416</v>
      </c>
      <c r="E78" s="5" t="n">
        <f aca="false">IF(B78&gt;=$Q$2,1,0)</f>
        <v>1</v>
      </c>
      <c r="F78" s="25" t="n">
        <f aca="false">IF(E78=1,(D78-$Q$4)/SQRT($Q$4*(1-$Q$4)/B78),"")</f>
        <v>-0.332381472824975</v>
      </c>
      <c r="G78" s="25" t="n">
        <f aca="false">IF(F78="","",MAX(MIN(F78,$Q$6),$Q$5))</f>
        <v>-0.332381472824975</v>
      </c>
      <c r="H78" s="25" t="n">
        <f aca="false">IF(F78="","",F78/SQRT($Q$7))</f>
        <v>-0.131648539983722</v>
      </c>
      <c r="I78" s="5" t="n">
        <f aca="false">IF(E78=1,B78/($Q$4*(1-$Q$4)),"")</f>
        <v>8944.9045856451</v>
      </c>
      <c r="J78" s="5" t="n">
        <f aca="false">IF(E78=1,I78*(D78-$Q$4)^2,"")</f>
        <v>0.1104774434773</v>
      </c>
      <c r="K78" s="5" t="n">
        <f aca="false">IF(E78=1,I78^2,"")</f>
        <v>80011318.0462948</v>
      </c>
      <c r="L78" s="25" t="n">
        <f aca="false">IF(E78=1,(D78-$Q$4)/SQRT($Q$4*(1-$Q$4)/B78+$Q$11),"")</f>
        <v>-0.0661357475227704</v>
      </c>
      <c r="M78" s="26" t="n">
        <f aca="false">IF(H78="","",NORMSDIST(-H78))</f>
        <v>0.552368854867492</v>
      </c>
      <c r="N78" s="5" t="str">
        <f aca="false">IF(H78="","",IF(H78&gt;$Q$14,"Sim","Não"))</f>
        <v>Não</v>
      </c>
      <c r="O78" s="2"/>
      <c r="P78" s="2"/>
      <c r="Q78" s="2"/>
      <c r="R78" s="2"/>
      <c r="S78" s="2"/>
      <c r="T78" s="2"/>
      <c r="U78" s="2"/>
      <c r="V78" s="2"/>
      <c r="W78" s="2"/>
      <c r="X78" s="2"/>
    </row>
    <row r="79" customFormat="false" ht="15" hidden="false" customHeight="false" outlineLevel="0" collapsed="false">
      <c r="A79" s="24" t="str">
        <f aca="false">'Taxa de occisão'!A79</f>
        <v>Borba</v>
      </c>
      <c r="B79" s="24" t="n">
        <f aca="false">'Taxa de occisão'!B79</f>
        <v>74</v>
      </c>
      <c r="C79" s="24" t="n">
        <f aca="false">'Taxa de occisão'!C79</f>
        <v>3</v>
      </c>
      <c r="D79" s="17" t="n">
        <f aca="false">C79/B79</f>
        <v>0.0405405405405405</v>
      </c>
      <c r="E79" s="5" t="n">
        <f aca="false">IF(B79&gt;=$Q$2,1,0)</f>
        <v>1</v>
      </c>
      <c r="F79" s="25" t="n">
        <f aca="false">IF(E79=1,(D79-$Q$4)/SQRT($Q$4*(1-$Q$4)/B79),"")</f>
        <v>-0.187927511009354</v>
      </c>
      <c r="G79" s="25" t="n">
        <f aca="false">IF(F79="","",MAX(MIN(F79,$Q$6),$Q$5))</f>
        <v>-0.187927511009354</v>
      </c>
      <c r="H79" s="25" t="n">
        <f aca="false">IF(F79="","",F79/SQRT($Q$7))</f>
        <v>-0.0744336988367103</v>
      </c>
      <c r="I79" s="5" t="n">
        <f aca="false">IF(E79=1,B79/($Q$4*(1-$Q$4)),"")</f>
        <v>1719.2803619162</v>
      </c>
      <c r="J79" s="5" t="n">
        <f aca="false">IF(E79=1,I79*(D79-$Q$4)^2,"")</f>
        <v>0.035316749394171</v>
      </c>
      <c r="K79" s="5" t="n">
        <f aca="false">IF(E79=1,I79^2,"")</f>
        <v>2955924.9628707</v>
      </c>
      <c r="L79" s="25" t="n">
        <f aca="false">IF(E79=1,(D79-$Q$4)/SQRT($Q$4*(1-$Q$4)/B79+$Q$11),"")</f>
        <v>-0.0789736854535866</v>
      </c>
      <c r="M79" s="26" t="n">
        <f aca="false">IF(H79="","",NORMSDIST(-H79))</f>
        <v>0.529667352314587</v>
      </c>
      <c r="N79" s="5" t="str">
        <f aca="false">IF(H79="","",IF(H79&gt;$Q$14,"Sim","Não"))</f>
        <v>Não</v>
      </c>
      <c r="O79" s="2"/>
      <c r="P79" s="2"/>
      <c r="Q79" s="2"/>
      <c r="R79" s="2"/>
      <c r="S79" s="2"/>
      <c r="T79" s="2"/>
      <c r="U79" s="2"/>
      <c r="V79" s="2"/>
      <c r="W79" s="2"/>
      <c r="X79" s="2"/>
    </row>
    <row r="80" customFormat="false" ht="15" hidden="false" customHeight="false" outlineLevel="0" collapsed="false">
      <c r="A80" s="24" t="str">
        <f aca="false">'Taxa de occisão'!A80</f>
        <v>Palmela</v>
      </c>
      <c r="B80" s="24" t="n">
        <f aca="false">'Taxa de occisão'!B80</f>
        <v>324</v>
      </c>
      <c r="C80" s="24" t="n">
        <f aca="false">'Taxa de occisão'!C80</f>
        <v>13</v>
      </c>
      <c r="D80" s="17" t="n">
        <f aca="false">C80/B80</f>
        <v>0.0401234567901235</v>
      </c>
      <c r="E80" s="5" t="n">
        <f aca="false">IF(B80&gt;=$Q$2,1,0)</f>
        <v>1</v>
      </c>
      <c r="F80" s="25" t="n">
        <f aca="false">IF(E80=1,(D80-$Q$4)/SQRT($Q$4*(1-$Q$4)/B80),"")</f>
        <v>-0.429417386551639</v>
      </c>
      <c r="G80" s="25" t="n">
        <f aca="false">IF(F80="","",MAX(MIN(F80,$Q$6),$Q$5))</f>
        <v>-0.429417386551639</v>
      </c>
      <c r="H80" s="25" t="n">
        <f aca="false">IF(F80="","",F80/SQRT($Q$7))</f>
        <v>-0.170082199536186</v>
      </c>
      <c r="I80" s="5" t="n">
        <f aca="false">IF(E80=1,B80/($Q$4*(1-$Q$4)),"")</f>
        <v>7527.65996298445</v>
      </c>
      <c r="J80" s="5" t="n">
        <f aca="false">IF(E80=1,I80*(D80-$Q$4)^2,"")</f>
        <v>0.18439929187284</v>
      </c>
      <c r="K80" s="5" t="n">
        <f aca="false">IF(E80=1,I80^2,"")</f>
        <v>56665664.518319</v>
      </c>
      <c r="L80" s="25" t="n">
        <f aca="false">IF(E80=1,(D80-$Q$4)/SQRT($Q$4*(1-$Q$4)/B80+$Q$11),"")</f>
        <v>-0.0927949519063386</v>
      </c>
      <c r="M80" s="26" t="n">
        <f aca="false">IF(H80="","",NORMSDIST(-H80))</f>
        <v>0.56752725386979</v>
      </c>
      <c r="N80" s="5" t="str">
        <f aca="false">IF(H80="","",IF(H80&gt;$Q$14,"Sim","Não"))</f>
        <v>Não</v>
      </c>
      <c r="O80" s="2"/>
      <c r="P80" s="2"/>
      <c r="Q80" s="2"/>
      <c r="R80" s="2"/>
      <c r="S80" s="2"/>
      <c r="T80" s="2"/>
      <c r="U80" s="2"/>
      <c r="V80" s="2"/>
      <c r="W80" s="2"/>
      <c r="X80" s="2"/>
    </row>
    <row r="81" customFormat="false" ht="15" hidden="false" customHeight="false" outlineLevel="0" collapsed="false">
      <c r="A81" s="24" t="str">
        <f aca="false">'Taxa de occisão'!A81</f>
        <v>Santarém</v>
      </c>
      <c r="B81" s="24" t="n">
        <f aca="false">'Taxa de occisão'!B81</f>
        <v>1081</v>
      </c>
      <c r="C81" s="24" t="n">
        <f aca="false">'Taxa de occisão'!C81</f>
        <v>43</v>
      </c>
      <c r="D81" s="17" t="n">
        <f aca="false">C81/B81</f>
        <v>0.0397779833487512</v>
      </c>
      <c r="E81" s="5" t="n">
        <f aca="false">IF(B81&gt;=$Q$2,1,0)</f>
        <v>1</v>
      </c>
      <c r="F81" s="25" t="n">
        <f aca="false">IF(E81=1,(D81-$Q$4)/SQRT($Q$4*(1-$Q$4)/B81),"")</f>
        <v>-0.839118289835648</v>
      </c>
      <c r="G81" s="25" t="n">
        <f aca="false">IF(F81="","",MAX(MIN(F81,$Q$6),$Q$5))</f>
        <v>-0.839118289835648</v>
      </c>
      <c r="H81" s="25" t="n">
        <f aca="false">IF(F81="","",F81/SQRT($Q$7))</f>
        <v>-0.33235516044744</v>
      </c>
      <c r="I81" s="5" t="n">
        <f aca="false">IF(E81=1,B81/($Q$4*(1-$Q$4)),"")</f>
        <v>25115.4333950191</v>
      </c>
      <c r="J81" s="5" t="n">
        <f aca="false">IF(E81=1,I81*(D81-$Q$4)^2,"")</f>
        <v>0.704119504336703</v>
      </c>
      <c r="K81" s="5" t="n">
        <f aca="false">IF(E81=1,I81^2,"")</f>
        <v>630784994.619641</v>
      </c>
      <c r="L81" s="25" t="n">
        <f aca="false">IF(E81=1,(D81-$Q$4)/SQRT($Q$4*(1-$Q$4)/B81+$Q$11),"")</f>
        <v>-0.100936253082134</v>
      </c>
      <c r="M81" s="26" t="n">
        <f aca="false">IF(H81="","",NORMSDIST(-H81))</f>
        <v>0.630189453648216</v>
      </c>
      <c r="N81" s="5" t="str">
        <f aca="false">IF(H81="","",IF(H81&gt;$Q$14,"Sim","Não"))</f>
        <v>Não</v>
      </c>
      <c r="O81" s="2"/>
      <c r="P81" s="2"/>
      <c r="Q81" s="2"/>
      <c r="R81" s="2"/>
      <c r="S81" s="2"/>
      <c r="T81" s="2"/>
      <c r="U81" s="2"/>
      <c r="V81" s="2"/>
      <c r="W81" s="2"/>
      <c r="X81" s="2"/>
    </row>
    <row r="82" customFormat="false" ht="15" hidden="false" customHeight="false" outlineLevel="0" collapsed="false">
      <c r="A82" s="24" t="str">
        <f aca="false">'Taxa de occisão'!A82</f>
        <v>Vinhais</v>
      </c>
      <c r="B82" s="24" t="n">
        <f aca="false">'Taxa de occisão'!B82</f>
        <v>333</v>
      </c>
      <c r="C82" s="24" t="n">
        <f aca="false">'Taxa de occisão'!C82</f>
        <v>13</v>
      </c>
      <c r="D82" s="17" t="n">
        <f aca="false">C82/B82</f>
        <v>0.039039039039039</v>
      </c>
      <c r="E82" s="5" t="n">
        <f aca="false">IF(B82&gt;=$Q$2,1,0)</f>
        <v>1</v>
      </c>
      <c r="F82" s="25" t="n">
        <f aca="false">IF(E82=1,(D82-$Q$4)/SQRT($Q$4*(1-$Q$4)/B82),"")</f>
        <v>-0.530724817496388</v>
      </c>
      <c r="G82" s="25" t="n">
        <f aca="false">IF(F82="","",MAX(MIN(F82,$Q$6),$Q$5))</f>
        <v>-0.530724817496388</v>
      </c>
      <c r="H82" s="25" t="n">
        <f aca="false">IF(F82="","",F82/SQRT($Q$7))</f>
        <v>-0.210207707315018</v>
      </c>
      <c r="I82" s="5" t="n">
        <f aca="false">IF(E82=1,B82/($Q$4*(1-$Q$4)),"")</f>
        <v>7736.76162862291</v>
      </c>
      <c r="J82" s="5" t="n">
        <f aca="false">IF(E82=1,I82*(D82-$Q$4)^2,"")</f>
        <v>0.281668831906575</v>
      </c>
      <c r="K82" s="5" t="n">
        <f aca="false">IF(E82=1,I82^2,"")</f>
        <v>59857480.4981318</v>
      </c>
      <c r="L82" s="25" t="n">
        <f aca="false">IF(E82=1,(D82-$Q$4)/SQRT($Q$4*(1-$Q$4)/B82+$Q$11),"")</f>
        <v>-0.113197996959752</v>
      </c>
      <c r="M82" s="26" t="n">
        <f aca="false">IF(H82="","",NORMSDIST(-H82))</f>
        <v>0.583247217806709</v>
      </c>
      <c r="N82" s="5" t="str">
        <f aca="false">IF(H82="","",IF(H82&gt;$Q$14,"Sim","Não"))</f>
        <v>Não</v>
      </c>
      <c r="O82" s="2"/>
      <c r="P82" s="2"/>
      <c r="Q82" s="2"/>
      <c r="R82" s="2"/>
      <c r="S82" s="2"/>
      <c r="T82" s="2"/>
      <c r="U82" s="2"/>
      <c r="V82" s="2"/>
      <c r="W82" s="2"/>
      <c r="X82" s="2"/>
    </row>
    <row r="83" customFormat="false" ht="15" hidden="false" customHeight="false" outlineLevel="0" collapsed="false">
      <c r="A83" s="24" t="str">
        <f aca="false">'Taxa de occisão'!A83</f>
        <v>Marco de Canaveses</v>
      </c>
      <c r="B83" s="24" t="n">
        <f aca="false">'Taxa de occisão'!B83</f>
        <v>283</v>
      </c>
      <c r="C83" s="24" t="n">
        <f aca="false">'Taxa de occisão'!C83</f>
        <v>11</v>
      </c>
      <c r="D83" s="17" t="n">
        <f aca="false">C83/B83</f>
        <v>0.03886925795053</v>
      </c>
      <c r="E83" s="5" t="n">
        <f aca="false">IF(B83&gt;=$Q$2,1,0)</f>
        <v>1</v>
      </c>
      <c r="F83" s="25" t="n">
        <f aca="false">IF(E83=1,(D83-$Q$4)/SQRT($Q$4*(1-$Q$4)/B83),"")</f>
        <v>-0.503027908451582</v>
      </c>
      <c r="G83" s="25" t="n">
        <f aca="false">IF(F83="","",MAX(MIN(F83,$Q$6),$Q$5))</f>
        <v>-0.503027908451582</v>
      </c>
      <c r="H83" s="25" t="n">
        <f aca="false">IF(F83="","",F83/SQRT($Q$7))</f>
        <v>-0.199237608389766</v>
      </c>
      <c r="I83" s="5" t="n">
        <f aca="false">IF(E83=1,B83/($Q$4*(1-$Q$4)),"")</f>
        <v>6575.08570840926</v>
      </c>
      <c r="J83" s="5" t="n">
        <f aca="false">IF(E83=1,I83*(D83-$Q$4)^2,"")</f>
        <v>0.253037076681173</v>
      </c>
      <c r="K83" s="5" t="n">
        <f aca="false">IF(E83=1,I83^2,"")</f>
        <v>43231752.0729277</v>
      </c>
      <c r="L83" s="25" t="n">
        <f aca="false">IF(E83=1,(D83-$Q$4)/SQRT($Q$4*(1-$Q$4)/B83+$Q$11),"")</f>
        <v>-0.115918292721713</v>
      </c>
      <c r="M83" s="26" t="n">
        <f aca="false">IF(H83="","",NORMSDIST(-H83))</f>
        <v>0.578961559068698</v>
      </c>
      <c r="N83" s="5" t="str">
        <f aca="false">IF(H83="","",IF(H83&gt;$Q$14,"Sim","Não"))</f>
        <v>Não</v>
      </c>
      <c r="O83" s="2"/>
      <c r="P83" s="2"/>
      <c r="Q83" s="2"/>
      <c r="R83" s="2"/>
      <c r="S83" s="2"/>
      <c r="T83" s="2"/>
      <c r="U83" s="2"/>
      <c r="V83" s="2"/>
      <c r="W83" s="2"/>
      <c r="X83" s="2"/>
    </row>
    <row r="84" customFormat="false" ht="15" hidden="false" customHeight="false" outlineLevel="0" collapsed="false">
      <c r="A84" s="24" t="str">
        <f aca="false">'Taxa de occisão'!A84</f>
        <v>Águeda</v>
      </c>
      <c r="B84" s="24" t="n">
        <f aca="false">'Taxa de occisão'!B84</f>
        <v>79</v>
      </c>
      <c r="C84" s="24" t="n">
        <f aca="false">'Taxa de occisão'!C84</f>
        <v>3</v>
      </c>
      <c r="D84" s="17" t="n">
        <f aca="false">C84/B84</f>
        <v>0.0379746835443038</v>
      </c>
      <c r="E84" s="5" t="n">
        <f aca="false">IF(B84&gt;=$Q$2,1,0)</f>
        <v>1</v>
      </c>
      <c r="F84" s="25" t="n">
        <f aca="false">IF(E84=1,(D84-$Q$4)/SQRT($Q$4*(1-$Q$4)/B84),"")</f>
        <v>-0.304099419992825</v>
      </c>
      <c r="G84" s="25" t="n">
        <f aca="false">IF(F84="","",MAX(MIN(F84,$Q$6),$Q$5))</f>
        <v>-0.304099419992825</v>
      </c>
      <c r="H84" s="25" t="n">
        <f aca="false">IF(F84="","",F84/SQRT($Q$7))</f>
        <v>-0.120446679267931</v>
      </c>
      <c r="I84" s="5" t="n">
        <f aca="false">IF(E84=1,B84/($Q$4*(1-$Q$4)),"")</f>
        <v>1835.44795393757</v>
      </c>
      <c r="J84" s="5" t="n">
        <f aca="false">IF(E84=1,I84*(D84-$Q$4)^2,"")</f>
        <v>0.0924764572399726</v>
      </c>
      <c r="K84" s="5" t="n">
        <f aca="false">IF(E84=1,I84^2,"")</f>
        <v>3368869.1916136</v>
      </c>
      <c r="L84" s="25" t="n">
        <f aca="false">IF(E84=1,(D84-$Q$4)/SQRT($Q$4*(1-$Q$4)/B84+$Q$11),"")</f>
        <v>-0.124380036516267</v>
      </c>
      <c r="M84" s="26" t="n">
        <f aca="false">IF(H84="","",NORMSDIST(-H84))</f>
        <v>0.54793534209222</v>
      </c>
      <c r="N84" s="5" t="str">
        <f aca="false">IF(H84="","",IF(H84&gt;$Q$14,"Sim","Não"))</f>
        <v>Não</v>
      </c>
      <c r="O84" s="2"/>
      <c r="P84" s="2"/>
      <c r="Q84" s="2"/>
      <c r="R84" s="2"/>
      <c r="S84" s="2"/>
      <c r="T84" s="2"/>
      <c r="U84" s="2"/>
      <c r="V84" s="2"/>
      <c r="W84" s="2"/>
      <c r="X84" s="2"/>
    </row>
    <row r="85" customFormat="false" ht="15" hidden="false" customHeight="false" outlineLevel="0" collapsed="false">
      <c r="A85" s="24" t="str">
        <f aca="false">'Taxa de occisão'!A85</f>
        <v>Paredes</v>
      </c>
      <c r="B85" s="24" t="n">
        <f aca="false">'Taxa de occisão'!B85</f>
        <v>642</v>
      </c>
      <c r="C85" s="24" t="n">
        <f aca="false">'Taxa de occisão'!C85</f>
        <v>24</v>
      </c>
      <c r="D85" s="17" t="n">
        <f aca="false">C85/B85</f>
        <v>0.0373831775700935</v>
      </c>
      <c r="E85" s="5" t="n">
        <f aca="false">IF(B85&gt;=$Q$2,1,0)</f>
        <v>1</v>
      </c>
      <c r="F85" s="25" t="n">
        <f aca="false">IF(E85=1,(D85-$Q$4)/SQRT($Q$4*(1-$Q$4)/B85),"")</f>
        <v>-0.93914217750397</v>
      </c>
      <c r="G85" s="25" t="n">
        <f aca="false">IF(F85="","",MAX(MIN(F85,$Q$6),$Q$5))</f>
        <v>-0.93914217750397</v>
      </c>
      <c r="H85" s="25" t="n">
        <f aca="false">IF(F85="","",F85/SQRT($Q$7))</f>
        <v>-0.371972286706353</v>
      </c>
      <c r="I85" s="5" t="n">
        <f aca="false">IF(E85=1,B85/($Q$4*(1-$Q$4)),"")</f>
        <v>14915.9188155433</v>
      </c>
      <c r="J85" s="5" t="n">
        <f aca="false">IF(E85=1,I85*(D85-$Q$4)^2,"")</f>
        <v>0.881988029566898</v>
      </c>
      <c r="K85" s="5" t="n">
        <f aca="false">IF(E85=1,I85^2,"")</f>
        <v>222484634.111877</v>
      </c>
      <c r="L85" s="25" t="n">
        <f aca="false">IF(E85=1,(D85-$Q$4)/SQRT($Q$4*(1-$Q$4)/B85+$Q$11),"")</f>
        <v>-0.145868913051967</v>
      </c>
      <c r="M85" s="26" t="n">
        <f aca="false">IF(H85="","",NORMSDIST(-H85))</f>
        <v>0.645043258388838</v>
      </c>
      <c r="N85" s="5" t="str">
        <f aca="false">IF(H85="","",IF(H85&gt;$Q$14,"Sim","Não"))</f>
        <v>Não</v>
      </c>
      <c r="O85" s="2"/>
      <c r="P85" s="2"/>
      <c r="Q85" s="2"/>
      <c r="R85" s="2"/>
      <c r="S85" s="2"/>
      <c r="T85" s="2"/>
      <c r="U85" s="2"/>
      <c r="V85" s="2"/>
      <c r="W85" s="2"/>
      <c r="X85" s="2"/>
    </row>
    <row r="86" customFormat="false" ht="15" hidden="false" customHeight="false" outlineLevel="0" collapsed="false">
      <c r="A86" s="24" t="str">
        <f aca="false">'Taxa de occisão'!A86</f>
        <v>Loures 37 (outras Sp.)</v>
      </c>
      <c r="B86" s="24" t="n">
        <f aca="false">'Taxa de occisão'!B86</f>
        <v>647</v>
      </c>
      <c r="C86" s="24" t="n">
        <f aca="false">'Taxa de occisão'!C86</f>
        <v>24</v>
      </c>
      <c r="D86" s="17" t="n">
        <f aca="false">C86/B86</f>
        <v>0.0370942812982998</v>
      </c>
      <c r="E86" s="5" t="n">
        <f aca="false">IF(B86&gt;=$Q$2,1,0)</f>
        <v>1</v>
      </c>
      <c r="F86" s="25" t="n">
        <f aca="false">IF(E86=1,(D86-$Q$4)/SQRT($Q$4*(1-$Q$4)/B86),"")</f>
        <v>-0.978212425960574</v>
      </c>
      <c r="G86" s="25" t="n">
        <f aca="false">IF(F86="","",MAX(MIN(F86,$Q$6),$Q$5))</f>
        <v>-0.978212425960574</v>
      </c>
      <c r="H86" s="25" t="n">
        <f aca="false">IF(F86="","",F86/SQRT($Q$7))</f>
        <v>-0.387447099795052</v>
      </c>
      <c r="I86" s="5" t="n">
        <f aca="false">IF(E86=1,B86/($Q$4*(1-$Q$4)),"")</f>
        <v>15032.0864075646</v>
      </c>
      <c r="J86" s="5" t="n">
        <f aca="false">IF(E86=1,I86*(D86-$Q$4)^2,"")</f>
        <v>0.956899550303671</v>
      </c>
      <c r="K86" s="5" t="n">
        <f aca="false">IF(E86=1,I86^2,"")</f>
        <v>225963621.764489</v>
      </c>
      <c r="L86" s="25" t="n">
        <f aca="false">IF(E86=1,(D86-$Q$4)/SQRT($Q$4*(1-$Q$4)/B86+$Q$11),"")</f>
        <v>-0.151363247875132</v>
      </c>
      <c r="M86" s="26" t="n">
        <f aca="false">IF(H86="","",NORMSDIST(-H86))</f>
        <v>0.650787379648403</v>
      </c>
      <c r="N86" s="5" t="str">
        <f aca="false">IF(H86="","",IF(H86&gt;$Q$14,"Sim","Não"))</f>
        <v>Não</v>
      </c>
      <c r="O86" s="2"/>
      <c r="P86" s="2"/>
      <c r="Q86" s="2"/>
      <c r="R86" s="2"/>
      <c r="S86" s="2"/>
      <c r="T86" s="2"/>
      <c r="U86" s="2"/>
      <c r="V86" s="2"/>
      <c r="W86" s="2"/>
      <c r="X86" s="2"/>
    </row>
    <row r="87" customFormat="false" ht="15" hidden="false" customHeight="false" outlineLevel="0" collapsed="false">
      <c r="A87" s="24" t="str">
        <f aca="false">'Taxa de occisão'!A87</f>
        <v>Sobral de Monte Agraço</v>
      </c>
      <c r="B87" s="24" t="n">
        <f aca="false">'Taxa de occisão'!B87</f>
        <v>54</v>
      </c>
      <c r="C87" s="24" t="n">
        <f aca="false">'Taxa de occisão'!C87</f>
        <v>2</v>
      </c>
      <c r="D87" s="17" t="n">
        <f aca="false">C87/B87</f>
        <v>0.037037037037037</v>
      </c>
      <c r="E87" s="5" t="n">
        <f aca="false">IF(B87&gt;=$Q$2,1,0)</f>
        <v>1</v>
      </c>
      <c r="F87" s="25" t="n">
        <f aca="false">IF(E87=1,(D87-$Q$4)/SQRT($Q$4*(1-$Q$4)/B87),"")</f>
        <v>-0.284631365245409</v>
      </c>
      <c r="G87" s="25" t="n">
        <f aca="false">IF(F87="","",MAX(MIN(F87,$Q$6),$Q$5))</f>
        <v>-0.284631365245409</v>
      </c>
      <c r="H87" s="25" t="n">
        <f aca="false">IF(F87="","",F87/SQRT($Q$7))</f>
        <v>-0.112735837378828</v>
      </c>
      <c r="I87" s="5" t="n">
        <f aca="false">IF(E87=1,B87/($Q$4*(1-$Q$4)),"")</f>
        <v>1254.60999383074</v>
      </c>
      <c r="J87" s="5" t="n">
        <f aca="false">IF(E87=1,I87*(D87-$Q$4)^2,"")</f>
        <v>0.0810150140814656</v>
      </c>
      <c r="K87" s="5" t="n">
        <f aca="false">IF(E87=1,I87^2,"")</f>
        <v>1574046.23661997</v>
      </c>
      <c r="L87" s="25" t="n">
        <f aca="false">IF(E87=1,(D87-$Q$4)/SQRT($Q$4*(1-$Q$4)/B87+$Q$11),"")</f>
        <v>-0.135655100251217</v>
      </c>
      <c r="M87" s="26" t="n">
        <f aca="false">IF(H87="","",NORMSDIST(-H87))</f>
        <v>0.544880005883914</v>
      </c>
      <c r="N87" s="5" t="str">
        <f aca="false">IF(H87="","",IF(H87&gt;$Q$14,"Sim","Não"))</f>
        <v>Não</v>
      </c>
      <c r="O87" s="2"/>
      <c r="P87" s="2"/>
      <c r="Q87" s="2"/>
      <c r="R87" s="2"/>
      <c r="S87" s="2"/>
      <c r="T87" s="2"/>
      <c r="U87" s="2"/>
      <c r="V87" s="2"/>
      <c r="W87" s="2"/>
      <c r="X87" s="2"/>
    </row>
    <row r="88" customFormat="false" ht="15" hidden="false" customHeight="false" outlineLevel="0" collapsed="false">
      <c r="A88" s="24" t="str">
        <f aca="false">'Taxa de occisão'!A88</f>
        <v>Pombal</v>
      </c>
      <c r="B88" s="24" t="n">
        <f aca="false">'Taxa de occisão'!B88</f>
        <v>192</v>
      </c>
      <c r="C88" s="24" t="n">
        <f aca="false">'Taxa de occisão'!C88</f>
        <v>6</v>
      </c>
      <c r="D88" s="17" t="n">
        <f aca="false">C88/B88</f>
        <v>0.03125</v>
      </c>
      <c r="E88" s="5" t="n">
        <f aca="false">IF(B88&gt;=$Q$2,1,0)</f>
        <v>1</v>
      </c>
      <c r="F88" s="25" t="n">
        <f aca="false">IF(E88=1,(D88-$Q$4)/SQRT($Q$4*(1-$Q$4)/B88),"")</f>
        <v>-0.92321928255877</v>
      </c>
      <c r="G88" s="25" t="n">
        <f aca="false">IF(F88="","",MAX(MIN(F88,$Q$6),$Q$5))</f>
        <v>-0.92321928255877</v>
      </c>
      <c r="H88" s="25" t="n">
        <f aca="false">IF(F88="","",F88/SQRT($Q$7))</f>
        <v>-0.365665599832281</v>
      </c>
      <c r="I88" s="5" t="n">
        <f aca="false">IF(E88=1,B88/($Q$4*(1-$Q$4)),"")</f>
        <v>4460.83553362041</v>
      </c>
      <c r="J88" s="5" t="n">
        <f aca="false">IF(E88=1,I88*(D88-$Q$4)^2,"")</f>
        <v>0.852333843688331</v>
      </c>
      <c r="K88" s="5" t="n">
        <f aca="false">IF(E88=1,I88^2,"")</f>
        <v>19899053.6580105</v>
      </c>
      <c r="L88" s="25" t="n">
        <f aca="false">IF(E88=1,(D88-$Q$4)/SQRT($Q$4*(1-$Q$4)/B88+$Q$11),"")</f>
        <v>-0.255099558262023</v>
      </c>
      <c r="M88" s="26" t="n">
        <f aca="false">IF(H88="","",NORMSDIST(-H88))</f>
        <v>0.642692690843636</v>
      </c>
      <c r="N88" s="5" t="str">
        <f aca="false">IF(H88="","",IF(H88&gt;$Q$14,"Sim","Não"))</f>
        <v>Não</v>
      </c>
      <c r="O88" s="2"/>
      <c r="P88" s="2"/>
      <c r="Q88" s="2"/>
      <c r="R88" s="2"/>
      <c r="S88" s="2"/>
      <c r="T88" s="2"/>
      <c r="U88" s="2"/>
      <c r="V88" s="2"/>
      <c r="W88" s="2"/>
      <c r="X88" s="2"/>
    </row>
    <row r="89" customFormat="false" ht="15" hidden="false" customHeight="false" outlineLevel="0" collapsed="false">
      <c r="A89" s="24" t="str">
        <f aca="false">'Taxa de occisão'!A89</f>
        <v>Carregal do Sal</v>
      </c>
      <c r="B89" s="24" t="n">
        <f aca="false">'Taxa de occisão'!B89</f>
        <v>131</v>
      </c>
      <c r="C89" s="24" t="n">
        <f aca="false">'Taxa de occisão'!C89</f>
        <v>4</v>
      </c>
      <c r="D89" s="17" t="n">
        <f aca="false">C89/B89</f>
        <v>0.0305343511450382</v>
      </c>
      <c r="E89" s="5" t="n">
        <f aca="false">IF(B89&gt;=$Q$2,1,0)</f>
        <v>1</v>
      </c>
      <c r="F89" s="25" t="n">
        <f aca="false">IF(E89=1,(D89-$Q$4)/SQRT($Q$4*(1-$Q$4)/B89),"")</f>
        <v>-0.802069334992927</v>
      </c>
      <c r="G89" s="25" t="n">
        <f aca="false">IF(F89="","",MAX(MIN(F89,$Q$6),$Q$5))</f>
        <v>-0.802069334992927</v>
      </c>
      <c r="H89" s="25" t="n">
        <f aca="false">IF(F89="","",F89/SQRT($Q$7))</f>
        <v>-0.3176809345602</v>
      </c>
      <c r="I89" s="5" t="n">
        <f aca="false">IF(E89=1,B89/($Q$4*(1-$Q$4)),"")</f>
        <v>3043.59091095976</v>
      </c>
      <c r="J89" s="5" t="n">
        <f aca="false">IF(E89=1,I89*(D89-$Q$4)^2,"")</f>
        <v>0.643315218135996</v>
      </c>
      <c r="K89" s="5" t="n">
        <f aca="false">IF(E89=1,I89^2,"")</f>
        <v>9263445.63327687</v>
      </c>
      <c r="L89" s="25" t="n">
        <f aca="false">IF(E89=1,(D89-$Q$4)/SQRT($Q$4*(1-$Q$4)/B89+$Q$11),"")</f>
        <v>-0.263660876386509</v>
      </c>
      <c r="M89" s="26" t="n">
        <f aca="false">IF(H89="","",NORMSDIST(-H89))</f>
        <v>0.624636512685018</v>
      </c>
      <c r="N89" s="5" t="str">
        <f aca="false">IF(H89="","",IF(H89&gt;$Q$14,"Sim","Não"))</f>
        <v>Não</v>
      </c>
      <c r="O89" s="2"/>
      <c r="P89" s="2"/>
      <c r="Q89" s="2"/>
      <c r="R89" s="2"/>
      <c r="S89" s="2"/>
      <c r="T89" s="2"/>
      <c r="U89" s="2"/>
      <c r="V89" s="2"/>
      <c r="W89" s="2"/>
      <c r="X89" s="2"/>
    </row>
    <row r="90" customFormat="false" ht="15" hidden="false" customHeight="false" outlineLevel="0" collapsed="false">
      <c r="A90" s="24" t="str">
        <f aca="false">'Taxa de occisão'!A90</f>
        <v>Odivelas</v>
      </c>
      <c r="B90" s="24" t="n">
        <f aca="false">'Taxa de occisão'!B90</f>
        <v>510</v>
      </c>
      <c r="C90" s="24" t="n">
        <f aca="false">'Taxa de occisão'!C90</f>
        <v>15</v>
      </c>
      <c r="D90" s="17" t="n">
        <f aca="false">C90/B90</f>
        <v>0.0294117647058824</v>
      </c>
      <c r="E90" s="5" t="n">
        <f aca="false">IF(B90&gt;=$Q$2,1,0)</f>
        <v>1</v>
      </c>
      <c r="F90" s="25" t="n">
        <f aca="false">IF(E90=1,(D90-$Q$4)/SQRT($Q$4*(1-$Q$4)/B90),"")</f>
        <v>-1.70476177122876</v>
      </c>
      <c r="G90" s="25" t="n">
        <f aca="false">IF(F90="","",MAX(MIN(F90,$Q$6),$Q$5))</f>
        <v>-1.70476177122876</v>
      </c>
      <c r="H90" s="25" t="n">
        <f aca="false">IF(F90="","",F90/SQRT($Q$7))</f>
        <v>-0.675216329884037</v>
      </c>
      <c r="I90" s="5" t="n">
        <f aca="false">IF(E90=1,B90/($Q$4*(1-$Q$4)),"")</f>
        <v>11849.0943861792</v>
      </c>
      <c r="J90" s="5" t="n">
        <f aca="false">IF(E90=1,I90*(D90-$Q$4)^2,"")</f>
        <v>2.90621269664302</v>
      </c>
      <c r="K90" s="5" t="n">
        <f aca="false">IF(E90=1,I90^2,"")</f>
        <v>140401037.772584</v>
      </c>
      <c r="L90" s="25" t="n">
        <f aca="false">IF(E90=1,(D90-$Q$4)/SQRT($Q$4*(1-$Q$4)/B90+$Q$11),"")</f>
        <v>-0.296159632146363</v>
      </c>
      <c r="M90" s="26" t="n">
        <f aca="false">IF(H90="","",NORMSDIST(-H90))</f>
        <v>0.750230833415758</v>
      </c>
      <c r="N90" s="5" t="str">
        <f aca="false">IF(H90="","",IF(H90&gt;$Q$14,"Sim","Não"))</f>
        <v>Não</v>
      </c>
      <c r="O90" s="2"/>
      <c r="P90" s="2"/>
      <c r="Q90" s="2"/>
      <c r="R90" s="2"/>
      <c r="S90" s="2"/>
      <c r="T90" s="2"/>
      <c r="U90" s="2"/>
      <c r="V90" s="2"/>
      <c r="W90" s="2"/>
      <c r="X90" s="2"/>
    </row>
    <row r="91" customFormat="false" ht="15" hidden="false" customHeight="false" outlineLevel="0" collapsed="false">
      <c r="A91" s="24" t="str">
        <f aca="false">'Taxa de occisão'!A91</f>
        <v>Baião</v>
      </c>
      <c r="B91" s="24" t="n">
        <f aca="false">'Taxa de occisão'!B91</f>
        <v>137</v>
      </c>
      <c r="C91" s="24" t="n">
        <f aca="false">'Taxa de occisão'!C91</f>
        <v>4</v>
      </c>
      <c r="D91" s="17" t="n">
        <f aca="false">C91/B91</f>
        <v>0.0291970802919708</v>
      </c>
      <c r="E91" s="5" t="n">
        <f aca="false">IF(B91&gt;=$Q$2,1,0)</f>
        <v>1</v>
      </c>
      <c r="F91" s="25" t="n">
        <f aca="false">IF(E91=1,(D91-$Q$4)/SQRT($Q$4*(1-$Q$4)/B91),"")</f>
        <v>-0.895677859683536</v>
      </c>
      <c r="G91" s="25" t="n">
        <f aca="false">IF(F91="","",MAX(MIN(F91,$Q$6),$Q$5))</f>
        <v>-0.895677859683536</v>
      </c>
      <c r="H91" s="25" t="n">
        <f aca="false">IF(F91="","",F91/SQRT($Q$7))</f>
        <v>-0.354757085348058</v>
      </c>
      <c r="I91" s="5" t="n">
        <f aca="false">IF(E91=1,B91/($Q$4*(1-$Q$4)),"")</f>
        <v>3182.9920213854</v>
      </c>
      <c r="J91" s="5" t="n">
        <f aca="false">IF(E91=1,I91*(D91-$Q$4)^2,"")</f>
        <v>0.80223882832728</v>
      </c>
      <c r="K91" s="5" t="n">
        <f aca="false">IF(E91=1,I91^2,"")</f>
        <v>10131438.2082031</v>
      </c>
      <c r="L91" s="25" t="n">
        <f aca="false">IF(E91=1,(D91-$Q$4)/SQRT($Q$4*(1-$Q$4)/B91+$Q$11),"")</f>
        <v>-0.288596519261201</v>
      </c>
      <c r="M91" s="26" t="n">
        <f aca="false">IF(H91="","",NORMSDIST(-H91))</f>
        <v>0.638614209595729</v>
      </c>
      <c r="N91" s="5" t="str">
        <f aca="false">IF(H91="","",IF(H91&gt;$Q$14,"Sim","Não"))</f>
        <v>Não</v>
      </c>
      <c r="O91" s="2"/>
      <c r="P91" s="2"/>
      <c r="Q91" s="2"/>
      <c r="R91" s="2"/>
      <c r="S91" s="2"/>
      <c r="T91" s="2"/>
      <c r="U91" s="2"/>
      <c r="V91" s="2"/>
      <c r="W91" s="2"/>
      <c r="X91" s="2"/>
    </row>
    <row r="92" customFormat="false" ht="15" hidden="false" customHeight="false" outlineLevel="0" collapsed="false">
      <c r="A92" s="24" t="str">
        <f aca="false">'Taxa de occisão'!A92</f>
        <v>Alijó</v>
      </c>
      <c r="B92" s="24" t="n">
        <f aca="false">'Taxa de occisão'!B92</f>
        <v>172</v>
      </c>
      <c r="C92" s="24" t="n">
        <f aca="false">'Taxa de occisão'!C92</f>
        <v>5</v>
      </c>
      <c r="D92" s="17" t="n">
        <f aca="false">C92/B92</f>
        <v>0.0290697674418605</v>
      </c>
      <c r="E92" s="5" t="n">
        <f aca="false">IF(B92&gt;=$Q$2,1,0)</f>
        <v>1</v>
      </c>
      <c r="F92" s="25" t="n">
        <f aca="false">IF(E92=1,(D92-$Q$4)/SQRT($Q$4*(1-$Q$4)/B92),"")</f>
        <v>-1.01163684835045</v>
      </c>
      <c r="G92" s="25" t="n">
        <f aca="false">IF(F92="","",MAX(MIN(F92,$Q$6),$Q$5))</f>
        <v>-1.01163684835045</v>
      </c>
      <c r="H92" s="25" t="n">
        <f aca="false">IF(F92="","",F92/SQRT($Q$7))</f>
        <v>-0.400685733013769</v>
      </c>
      <c r="I92" s="5" t="n">
        <f aca="false">IF(E92=1,B92/($Q$4*(1-$Q$4)),"")</f>
        <v>3996.16516553495</v>
      </c>
      <c r="J92" s="5" t="n">
        <f aca="false">IF(E92=1,I92*(D92-$Q$4)^2,"")</f>
        <v>1.02340911294044</v>
      </c>
      <c r="K92" s="5" t="n">
        <f aca="false">IF(E92=1,I92^2,"")</f>
        <v>15969336.030235</v>
      </c>
      <c r="L92" s="25" t="n">
        <f aca="false">IF(E92=1,(D92-$Q$4)/SQRT($Q$4*(1-$Q$4)/B92+$Q$11),"")</f>
        <v>-0.294033329741728</v>
      </c>
      <c r="M92" s="26" t="n">
        <f aca="false">IF(H92="","",NORMSDIST(-H92))</f>
        <v>0.655674241952578</v>
      </c>
      <c r="N92" s="5" t="str">
        <f aca="false">IF(H92="","",IF(H92&gt;$Q$14,"Sim","Não"))</f>
        <v>Não</v>
      </c>
      <c r="O92" s="2"/>
      <c r="P92" s="2"/>
      <c r="Q92" s="2"/>
      <c r="R92" s="2"/>
      <c r="S92" s="2"/>
      <c r="T92" s="2"/>
      <c r="U92" s="2"/>
      <c r="V92" s="2"/>
      <c r="W92" s="2"/>
      <c r="X92" s="2"/>
    </row>
    <row r="93" customFormat="false" ht="15" hidden="false" customHeight="false" outlineLevel="0" collapsed="false">
      <c r="A93" s="24" t="str">
        <f aca="false">'Taxa de occisão'!A93</f>
        <v>Vila Nova de Famalicão</v>
      </c>
      <c r="B93" s="24" t="n">
        <f aca="false">'Taxa de occisão'!B93</f>
        <v>1511</v>
      </c>
      <c r="C93" s="24" t="n">
        <f aca="false">'Taxa de occisão'!C93</f>
        <v>43</v>
      </c>
      <c r="D93" s="17" t="n">
        <f aca="false">C93/B93</f>
        <v>0.028457974851092</v>
      </c>
      <c r="E93" s="5" t="n">
        <f aca="false">IF(B93&gt;=$Q$2,1,0)</f>
        <v>1</v>
      </c>
      <c r="F93" s="25" t="n">
        <f aca="false">IF(E93=1,(D93-$Q$4)/SQRT($Q$4*(1-$Q$4)/B93),"")</f>
        <v>-3.11305011094545</v>
      </c>
      <c r="G93" s="25" t="n">
        <f aca="false">IF(F93="","",MAX(MIN(F93,$Q$6),$Q$5))</f>
        <v>-3.11305011094545</v>
      </c>
      <c r="H93" s="25" t="n">
        <f aca="false">IF(F93="","",F93/SQRT($Q$7))</f>
        <v>-1.23300645646377</v>
      </c>
      <c r="I93" s="5" t="n">
        <f aca="false">IF(E93=1,B93/($Q$4*(1-$Q$4)),"")</f>
        <v>35105.8463088565</v>
      </c>
      <c r="J93" s="5" t="n">
        <f aca="false">IF(E93=1,I93*(D93-$Q$4)^2,"")</f>
        <v>9.69108099325746</v>
      </c>
      <c r="K93" s="5" t="n">
        <f aca="false">IF(E93=1,I93^2,"")</f>
        <v>1232420445.06105</v>
      </c>
      <c r="L93" s="25" t="n">
        <f aca="false">IF(E93=1,(D93-$Q$4)/SQRT($Q$4*(1-$Q$4)/B93+$Q$11),"")</f>
        <v>-0.317385225100461</v>
      </c>
      <c r="M93" s="26" t="n">
        <f aca="false">IF(H93="","",NORMSDIST(-H93))</f>
        <v>0.891213322330022</v>
      </c>
      <c r="N93" s="5" t="str">
        <f aca="false">IF(H93="","",IF(H93&gt;$Q$14,"Sim","Não"))</f>
        <v>Não</v>
      </c>
      <c r="O93" s="2"/>
      <c r="P93" s="2"/>
      <c r="Q93" s="2"/>
      <c r="R93" s="2"/>
      <c r="S93" s="2"/>
      <c r="T93" s="2"/>
      <c r="U93" s="2"/>
      <c r="V93" s="2"/>
      <c r="W93" s="2"/>
      <c r="X93" s="2"/>
    </row>
    <row r="94" customFormat="false" ht="15" hidden="false" customHeight="false" outlineLevel="0" collapsed="false">
      <c r="A94" s="24" t="str">
        <f aca="false">'Taxa de occisão'!A94</f>
        <v>Porto</v>
      </c>
      <c r="B94" s="24" t="n">
        <f aca="false">'Taxa de occisão'!B94</f>
        <v>640</v>
      </c>
      <c r="C94" s="24" t="n">
        <f aca="false">'Taxa de occisão'!C94</f>
        <v>18</v>
      </c>
      <c r="D94" s="17" t="n">
        <f aca="false">C94/B94</f>
        <v>0.028125</v>
      </c>
      <c r="E94" s="5" t="n">
        <f aca="false">IF(B94&gt;=$Q$2,1,0)</f>
        <v>1</v>
      </c>
      <c r="F94" s="25" t="n">
        <f aca="false">IF(E94=1,(D94-$Q$4)/SQRT($Q$4*(1-$Q$4)/B94),"")</f>
        <v>-2.06662371849623</v>
      </c>
      <c r="G94" s="25" t="n">
        <f aca="false">IF(F94="","",MAX(MIN(F94,$Q$6),$Q$5))</f>
        <v>-2.06662371849623</v>
      </c>
      <c r="H94" s="25" t="n">
        <f aca="false">IF(F94="","",F94/SQRT($Q$7))</f>
        <v>-0.8185413973992</v>
      </c>
      <c r="I94" s="5" t="n">
        <f aca="false">IF(E94=1,B94/($Q$4*(1-$Q$4)),"")</f>
        <v>14869.4517787347</v>
      </c>
      <c r="J94" s="5" t="n">
        <f aca="false">IF(E94=1,I94*(D94-$Q$4)^2,"")</f>
        <v>4.27093359385118</v>
      </c>
      <c r="K94" s="5" t="n">
        <f aca="false">IF(E94=1,I94^2,"")</f>
        <v>221100596.200117</v>
      </c>
      <c r="L94" s="25" t="n">
        <f aca="false">IF(E94=1,(D94-$Q$4)/SQRT($Q$4*(1-$Q$4)/B94+$Q$11),"")</f>
        <v>-0.321480006010992</v>
      </c>
      <c r="M94" s="26" t="n">
        <f aca="false">IF(H94="","",NORMSDIST(-H94))</f>
        <v>0.793475943056162</v>
      </c>
      <c r="N94" s="5" t="str">
        <f aca="false">IF(H94="","",IF(H94&gt;$Q$14,"Sim","Não"))</f>
        <v>Não</v>
      </c>
      <c r="O94" s="2"/>
      <c r="P94" s="2"/>
      <c r="Q94" s="2"/>
      <c r="R94" s="2"/>
      <c r="S94" s="2"/>
      <c r="T94" s="2"/>
      <c r="U94" s="2"/>
      <c r="V94" s="2"/>
      <c r="W94" s="2"/>
      <c r="X94" s="2"/>
    </row>
    <row r="95" customFormat="false" ht="15" hidden="false" customHeight="false" outlineLevel="0" collapsed="false">
      <c r="A95" s="24" t="str">
        <f aca="false">'Taxa de occisão'!A95</f>
        <v>Cantanhede</v>
      </c>
      <c r="B95" s="24" t="n">
        <f aca="false">'Taxa de occisão'!B95</f>
        <v>154</v>
      </c>
      <c r="C95" s="24" t="n">
        <f aca="false">'Taxa de occisão'!C95</f>
        <v>4</v>
      </c>
      <c r="D95" s="17" t="n">
        <f aca="false">C95/B95</f>
        <v>0.025974025974026</v>
      </c>
      <c r="E95" s="5" t="n">
        <f aca="false">IF(B95&gt;=$Q$2,1,0)</f>
        <v>1</v>
      </c>
      <c r="F95" s="25" t="n">
        <f aca="false">IF(E95=1,(D95-$Q$4)/SQRT($Q$4*(1-$Q$4)/B95),"")</f>
        <v>-1.14241494315515</v>
      </c>
      <c r="G95" s="25" t="n">
        <f aca="false">IF(F95="","",MAX(MIN(F95,$Q$6),$Q$5))</f>
        <v>-1.14241494315515</v>
      </c>
      <c r="H95" s="25" t="n">
        <f aca="false">IF(F95="","",F95/SQRT($Q$7))</f>
        <v>-0.452483882581381</v>
      </c>
      <c r="I95" s="5" t="n">
        <f aca="false">IF(E95=1,B95/($Q$4*(1-$Q$4)),"")</f>
        <v>3577.96183425804</v>
      </c>
      <c r="J95" s="5" t="n">
        <f aca="false">IF(E95=1,I95*(D95-$Q$4)^2,"")</f>
        <v>1.30511190234418</v>
      </c>
      <c r="K95" s="5" t="n">
        <f aca="false">IF(E95=1,I95^2,"")</f>
        <v>12801810.8874072</v>
      </c>
      <c r="L95" s="25" t="n">
        <f aca="false">IF(E95=1,(D95-$Q$4)/SQRT($Q$4*(1-$Q$4)/B95+$Q$11),"")</f>
        <v>-0.349193420841324</v>
      </c>
      <c r="M95" s="26" t="n">
        <f aca="false">IF(H95="","",NORMSDIST(-H95))</f>
        <v>0.674539785145611</v>
      </c>
      <c r="N95" s="5" t="str">
        <f aca="false">IF(H95="","",IF(H95&gt;$Q$14,"Sim","Não"))</f>
        <v>Não</v>
      </c>
      <c r="O95" s="2"/>
      <c r="P95" s="2"/>
      <c r="Q95" s="2"/>
      <c r="R95" s="2"/>
      <c r="S95" s="2"/>
      <c r="T95" s="2"/>
      <c r="U95" s="2"/>
      <c r="V95" s="2"/>
      <c r="W95" s="2"/>
      <c r="X95" s="2"/>
    </row>
    <row r="96" customFormat="false" ht="15" hidden="false" customHeight="false" outlineLevel="0" collapsed="false">
      <c r="A96" s="24" t="str">
        <f aca="false">'Taxa de occisão'!A96</f>
        <v>Coimbra</v>
      </c>
      <c r="B96" s="24" t="n">
        <f aca="false">'Taxa de occisão'!B96</f>
        <v>946</v>
      </c>
      <c r="C96" s="24" t="n">
        <f aca="false">'Taxa de occisão'!C96</f>
        <v>23</v>
      </c>
      <c r="D96" s="17" t="n">
        <f aca="false">C96/B96</f>
        <v>0.0243128964059197</v>
      </c>
      <c r="E96" s="5" t="n">
        <f aca="false">IF(B96&gt;=$Q$2,1,0)</f>
        <v>1</v>
      </c>
      <c r="F96" s="25" t="n">
        <f aca="false">IF(E96=1,(D96-$Q$4)/SQRT($Q$4*(1-$Q$4)/B96),"")</f>
        <v>-3.07771841059614</v>
      </c>
      <c r="G96" s="25" t="n">
        <f aca="false">IF(F96="","",MAX(MIN(F96,$Q$6),$Q$5))</f>
        <v>-3.07771841059614</v>
      </c>
      <c r="H96" s="25" t="n">
        <f aca="false">IF(F96="","",F96/SQRT($Q$7))</f>
        <v>-1.21901239498196</v>
      </c>
      <c r="I96" s="5" t="n">
        <f aca="false">IF(E96=1,B96/($Q$4*(1-$Q$4)),"")</f>
        <v>21978.9084104423</v>
      </c>
      <c r="J96" s="5" t="n">
        <f aca="false">IF(E96=1,I96*(D96-$Q$4)^2,"")</f>
        <v>9.47235061492242</v>
      </c>
      <c r="K96" s="5" t="n">
        <f aca="false">IF(E96=1,I96^2,"")</f>
        <v>483072414.914609</v>
      </c>
      <c r="L96" s="25" t="n">
        <f aca="false">IF(E96=1,(D96-$Q$4)/SQRT($Q$4*(1-$Q$4)/B96+$Q$11),"")</f>
        <v>-0.395341345985724</v>
      </c>
      <c r="M96" s="26" t="n">
        <f aca="false">IF(H96="","",NORMSDIST(-H96))</f>
        <v>0.888580255990409</v>
      </c>
      <c r="N96" s="5" t="str">
        <f aca="false">IF(H96="","",IF(H96&gt;$Q$14,"Sim","Não"))</f>
        <v>Não</v>
      </c>
      <c r="O96" s="2"/>
      <c r="P96" s="2"/>
      <c r="Q96" s="2"/>
      <c r="R96" s="2"/>
      <c r="S96" s="2"/>
      <c r="T96" s="2"/>
      <c r="U96" s="2"/>
      <c r="V96" s="2"/>
      <c r="W96" s="2"/>
      <c r="X96" s="2"/>
    </row>
    <row r="97" customFormat="false" ht="15" hidden="false" customHeight="false" outlineLevel="0" collapsed="false">
      <c r="A97" s="24" t="str">
        <f aca="false">'Taxa de occisão'!A97</f>
        <v>Oliveira de Azeméis</v>
      </c>
      <c r="B97" s="24" t="n">
        <f aca="false">'Taxa de occisão'!B97</f>
        <v>86</v>
      </c>
      <c r="C97" s="24" t="n">
        <f aca="false">'Taxa de occisão'!C97</f>
        <v>2</v>
      </c>
      <c r="D97" s="17" t="n">
        <f aca="false">C97/B97</f>
        <v>0.0232558139534884</v>
      </c>
      <c r="E97" s="5" t="n">
        <f aca="false">IF(B97&gt;=$Q$2,1,0)</f>
        <v>1</v>
      </c>
      <c r="F97" s="25" t="n">
        <f aca="false">IF(E97=1,(D97-$Q$4)/SQRT($Q$4*(1-$Q$4)/B97),"")</f>
        <v>-0.975218514131421</v>
      </c>
      <c r="G97" s="25" t="n">
        <f aca="false">IF(F97="","",MAX(MIN(F97,$Q$6),$Q$5))</f>
        <v>-0.975218514131421</v>
      </c>
      <c r="H97" s="25" t="n">
        <f aca="false">IF(F97="","",F97/SQRT($Q$7))</f>
        <v>-0.386261281230022</v>
      </c>
      <c r="I97" s="5" t="n">
        <f aca="false">IF(E97=1,B97/($Q$4*(1-$Q$4)),"")</f>
        <v>1998.08258276748</v>
      </c>
      <c r="J97" s="5" t="n">
        <f aca="false">IF(E97=1,I97*(D97-$Q$4)^2,"")</f>
        <v>0.951051150304696</v>
      </c>
      <c r="K97" s="5" t="n">
        <f aca="false">IF(E97=1,I97^2,"")</f>
        <v>3992334.00755875</v>
      </c>
      <c r="L97" s="25" t="n">
        <f aca="false">IF(E97=1,(D97-$Q$4)/SQRT($Q$4*(1-$Q$4)/B97+$Q$11),"")</f>
        <v>-0.384927089428032</v>
      </c>
      <c r="M97" s="26" t="n">
        <f aca="false">IF(H97="","",NORMSDIST(-H97))</f>
        <v>0.650348413665716</v>
      </c>
      <c r="N97" s="5" t="str">
        <f aca="false">IF(H97="","",IF(H97&gt;$Q$14,"Sim","Não"))</f>
        <v>Não</v>
      </c>
      <c r="O97" s="2"/>
      <c r="P97" s="2"/>
      <c r="Q97" s="2"/>
      <c r="R97" s="2"/>
      <c r="S97" s="2"/>
      <c r="T97" s="2"/>
      <c r="U97" s="2"/>
      <c r="V97" s="2"/>
      <c r="W97" s="2"/>
      <c r="X97" s="2"/>
    </row>
    <row r="98" customFormat="false" ht="15" hidden="false" customHeight="false" outlineLevel="0" collapsed="false">
      <c r="A98" s="24" t="str">
        <f aca="false">'Taxa de occisão'!A98</f>
        <v>Ribeira Grande</v>
      </c>
      <c r="B98" s="24" t="n">
        <f aca="false">'Taxa de occisão'!B98</f>
        <v>258</v>
      </c>
      <c r="C98" s="24" t="n">
        <f aca="false">'Taxa de occisão'!C98</f>
        <v>6</v>
      </c>
      <c r="D98" s="17" t="n">
        <f aca="false">C98/B98</f>
        <v>0.0232558139534884</v>
      </c>
      <c r="E98" s="5" t="n">
        <f aca="false">IF(B98&gt;=$Q$2,1,0)</f>
        <v>1</v>
      </c>
      <c r="F98" s="25" t="n">
        <f aca="false">IF(E98=1,(D98-$Q$4)/SQRT($Q$4*(1-$Q$4)/B98),"")</f>
        <v>-1.68912801495745</v>
      </c>
      <c r="G98" s="25" t="n">
        <f aca="false">IF(F98="","",MAX(MIN(F98,$Q$6),$Q$5))</f>
        <v>-1.68912801495745</v>
      </c>
      <c r="H98" s="25" t="n">
        <f aca="false">IF(F98="","",F98/SQRT($Q$7))</f>
        <v>-0.669024164087049</v>
      </c>
      <c r="I98" s="5" t="n">
        <f aca="false">IF(E98=1,B98/($Q$4*(1-$Q$4)),"")</f>
        <v>5994.24774830243</v>
      </c>
      <c r="J98" s="5" t="n">
        <f aca="false">IF(E98=1,I98*(D98-$Q$4)^2,"")</f>
        <v>2.85315345091409</v>
      </c>
      <c r="K98" s="5" t="n">
        <f aca="false">IF(E98=1,I98^2,"")</f>
        <v>35931006.0680288</v>
      </c>
      <c r="L98" s="25" t="n">
        <f aca="false">IF(E98=1,(D98-$Q$4)/SQRT($Q$4*(1-$Q$4)/B98+$Q$11),"")</f>
        <v>-0.406622425586493</v>
      </c>
      <c r="M98" s="26" t="n">
        <f aca="false">IF(H98="","",NORMSDIST(-H98))</f>
        <v>0.748259968106445</v>
      </c>
      <c r="N98" s="5" t="str">
        <f aca="false">IF(H98="","",IF(H98&gt;$Q$14,"Sim","Não"))</f>
        <v>Não</v>
      </c>
      <c r="O98" s="2"/>
      <c r="P98" s="2"/>
      <c r="Q98" s="2"/>
      <c r="R98" s="2"/>
      <c r="S98" s="2"/>
      <c r="T98" s="2"/>
      <c r="U98" s="2"/>
      <c r="V98" s="2"/>
      <c r="W98" s="2"/>
      <c r="X98" s="2"/>
    </row>
    <row r="99" customFormat="false" ht="15" hidden="false" customHeight="false" outlineLevel="0" collapsed="false">
      <c r="A99" s="24" t="str">
        <f aca="false">'Taxa de occisão'!A99</f>
        <v>Santa Maria da Feira</v>
      </c>
      <c r="B99" s="24" t="n">
        <f aca="false">'Taxa de occisão'!B99</f>
        <v>432</v>
      </c>
      <c r="C99" s="24" t="n">
        <f aca="false">'Taxa de occisão'!C99</f>
        <v>10</v>
      </c>
      <c r="D99" s="17" t="n">
        <f aca="false">C99/B99</f>
        <v>0.0231481481481481</v>
      </c>
      <c r="E99" s="5" t="n">
        <f aca="false">IF(B99&gt;=$Q$2,1,0)</f>
        <v>1</v>
      </c>
      <c r="F99" s="25" t="n">
        <f aca="false">IF(E99=1,(D99-$Q$4)/SQRT($Q$4*(1-$Q$4)/B99),"")</f>
        <v>-2.19650671359246</v>
      </c>
      <c r="G99" s="25" t="n">
        <f aca="false">IF(F99="","",MAX(MIN(F99,$Q$6),$Q$5))</f>
        <v>-2.19650671359246</v>
      </c>
      <c r="H99" s="25" t="n">
        <f aca="false">IF(F99="","",F99/SQRT($Q$7))</f>
        <v>-0.86998501887366</v>
      </c>
      <c r="I99" s="5" t="n">
        <f aca="false">IF(E99=1,B99/($Q$4*(1-$Q$4)),"")</f>
        <v>10036.8799506459</v>
      </c>
      <c r="J99" s="5" t="n">
        <f aca="false">IF(E99=1,I99*(D99-$Q$4)^2,"")</f>
        <v>4.82464174285673</v>
      </c>
      <c r="K99" s="5" t="n">
        <f aca="false">IF(E99=1,I99^2,"")</f>
        <v>100738959.143678</v>
      </c>
      <c r="L99" s="25" t="n">
        <f aca="false">IF(E99=1,(D99-$Q$4)/SQRT($Q$4*(1-$Q$4)/B99+$Q$11),"")</f>
        <v>-0.413483173364212</v>
      </c>
      <c r="M99" s="26" t="n">
        <f aca="false">IF(H99="","",NORMSDIST(-H99))</f>
        <v>0.807845704360287</v>
      </c>
      <c r="N99" s="5" t="str">
        <f aca="false">IF(H99="","",IF(H99&gt;$Q$14,"Sim","Não"))</f>
        <v>Não</v>
      </c>
      <c r="O99" s="2"/>
      <c r="P99" s="2"/>
      <c r="Q99" s="2"/>
      <c r="R99" s="2"/>
      <c r="S99" s="2"/>
      <c r="T99" s="2"/>
      <c r="U99" s="2"/>
      <c r="V99" s="2"/>
      <c r="W99" s="2"/>
      <c r="X99" s="2"/>
    </row>
    <row r="100" customFormat="false" ht="15" hidden="false" customHeight="false" outlineLevel="0" collapsed="false">
      <c r="A100" s="24" t="str">
        <f aca="false">'Taxa de occisão'!A100</f>
        <v>Torres Novas</v>
      </c>
      <c r="B100" s="24" t="n">
        <f aca="false">'Taxa de occisão'!B100</f>
        <v>137</v>
      </c>
      <c r="C100" s="24" t="n">
        <f aca="false">'Taxa de occisão'!C100</f>
        <v>3</v>
      </c>
      <c r="D100" s="17" t="n">
        <f aca="false">C100/B100</f>
        <v>0.0218978102189781</v>
      </c>
      <c r="E100" s="5" t="n">
        <f aca="false">IF(B100&gt;=$Q$2,1,0)</f>
        <v>1</v>
      </c>
      <c r="F100" s="25" t="n">
        <f aca="false">IF(E100=1,(D100-$Q$4)/SQRT($Q$4*(1-$Q$4)/B100),"")</f>
        <v>-1.30748816258845</v>
      </c>
      <c r="G100" s="25" t="n">
        <f aca="false">IF(F100="","",MAX(MIN(F100,$Q$6),$Q$5))</f>
        <v>-1.30748816258845</v>
      </c>
      <c r="H100" s="25" t="n">
        <f aca="false">IF(F100="","",F100/SQRT($Q$7))</f>
        <v>-0.517865530192798</v>
      </c>
      <c r="I100" s="5" t="n">
        <f aca="false">IF(E100=1,B100/($Q$4*(1-$Q$4)),"")</f>
        <v>3182.9920213854</v>
      </c>
      <c r="J100" s="5" t="n">
        <f aca="false">IF(E100=1,I100*(D100-$Q$4)^2,"")</f>
        <v>1.70952529530891</v>
      </c>
      <c r="K100" s="5" t="n">
        <f aca="false">IF(E100=1,I100^2,"")</f>
        <v>10131438.2082031</v>
      </c>
      <c r="L100" s="25" t="n">
        <f aca="false">IF(E100=1,(D100-$Q$4)/SQRT($Q$4*(1-$Q$4)/B100+$Q$11),"")</f>
        <v>-0.421285988727656</v>
      </c>
      <c r="M100" s="26" t="n">
        <f aca="false">IF(H100="","",NORMSDIST(-H100))</f>
        <v>0.697723953312247</v>
      </c>
      <c r="N100" s="5" t="str">
        <f aca="false">IF(H100="","",IF(H100&gt;$Q$14,"Sim","Não"))</f>
        <v>Não</v>
      </c>
      <c r="O100" s="2"/>
      <c r="P100" s="2"/>
      <c r="Q100" s="2"/>
      <c r="R100" s="2"/>
      <c r="S100" s="2"/>
      <c r="T100" s="2"/>
      <c r="U100" s="2"/>
      <c r="V100" s="2"/>
      <c r="W100" s="2"/>
      <c r="X100" s="2"/>
    </row>
    <row r="101" customFormat="false" ht="15" hidden="false" customHeight="false" outlineLevel="0" collapsed="false">
      <c r="A101" s="24" t="str">
        <f aca="false">'Taxa de occisão'!A101</f>
        <v>Rio Maior</v>
      </c>
      <c r="B101" s="24" t="n">
        <f aca="false">'Taxa de occisão'!B101</f>
        <v>184</v>
      </c>
      <c r="C101" s="24" t="n">
        <f aca="false">'Taxa de occisão'!C101</f>
        <v>4</v>
      </c>
      <c r="D101" s="17" t="n">
        <f aca="false">C101/B101</f>
        <v>0.0217391304347826</v>
      </c>
      <c r="E101" s="5" t="n">
        <f aca="false">IF(B101&gt;=$Q$2,1,0)</f>
        <v>1</v>
      </c>
      <c r="F101" s="25" t="n">
        <f aca="false">IF(E101=1,(D101-$Q$4)/SQRT($Q$4*(1-$Q$4)/B101),"")</f>
        <v>-1.5256323276008</v>
      </c>
      <c r="G101" s="25" t="n">
        <f aca="false">IF(F101="","",MAX(MIN(F101,$Q$6),$Q$5))</f>
        <v>-1.5256323276008</v>
      </c>
      <c r="H101" s="25" t="n">
        <f aca="false">IF(F101="","",F101/SQRT($Q$7))</f>
        <v>-0.604267340094419</v>
      </c>
      <c r="I101" s="5" t="n">
        <f aca="false">IF(E101=1,B101/($Q$4*(1-$Q$4)),"")</f>
        <v>4274.96738638623</v>
      </c>
      <c r="J101" s="5" t="n">
        <f aca="false">IF(E101=1,I101*(D101-$Q$4)^2,"")</f>
        <v>2.32755399902064</v>
      </c>
      <c r="K101" s="5" t="n">
        <f aca="false">IF(E101=1,I101^2,"")</f>
        <v>18275346.1546659</v>
      </c>
      <c r="L101" s="25" t="n">
        <f aca="false">IF(E101=1,(D101-$Q$4)/SQRT($Q$4*(1-$Q$4)/B101+$Q$11),"")</f>
        <v>-0.4299092442154</v>
      </c>
      <c r="M101" s="26" t="n">
        <f aca="false">IF(H101="","",NORMSDIST(-H101))</f>
        <v>0.727167041778355</v>
      </c>
      <c r="N101" s="5" t="str">
        <f aca="false">IF(H101="","",IF(H101&gt;$Q$14,"Sim","Não"))</f>
        <v>Não</v>
      </c>
      <c r="O101" s="2"/>
      <c r="P101" s="2"/>
      <c r="Q101" s="2"/>
      <c r="R101" s="2"/>
      <c r="S101" s="2"/>
      <c r="T101" s="2"/>
      <c r="U101" s="2"/>
      <c r="V101" s="2"/>
      <c r="W101" s="2"/>
      <c r="X101" s="2"/>
    </row>
    <row r="102" customFormat="false" ht="15" hidden="false" customHeight="false" outlineLevel="0" collapsed="false">
      <c r="A102" s="24" t="str">
        <f aca="false">'Taxa de occisão'!A102</f>
        <v>Alcochete</v>
      </c>
      <c r="B102" s="24" t="n">
        <f aca="false">'Taxa de occisão'!B102</f>
        <v>93</v>
      </c>
      <c r="C102" s="24" t="n">
        <f aca="false">'Taxa de occisão'!C102</f>
        <v>2</v>
      </c>
      <c r="D102" s="17" t="n">
        <f aca="false">C102/B102</f>
        <v>0.021505376344086</v>
      </c>
      <c r="E102" s="5" t="n">
        <f aca="false">IF(B102&gt;=$Q$2,1,0)</f>
        <v>1</v>
      </c>
      <c r="F102" s="25" t="n">
        <f aca="false">IF(E102=1,(D102-$Q$4)/SQRT($Q$4*(1-$Q$4)/B102),"")</f>
        <v>-1.09549779214283</v>
      </c>
      <c r="G102" s="25" t="n">
        <f aca="false">IF(F102="","",MAX(MIN(F102,$Q$6),$Q$5))</f>
        <v>-1.09549779214283</v>
      </c>
      <c r="H102" s="25" t="n">
        <f aca="false">IF(F102="","",F102/SQRT($Q$7))</f>
        <v>-0.433901094622498</v>
      </c>
      <c r="I102" s="5" t="n">
        <f aca="false">IF(E102=1,B102/($Q$4*(1-$Q$4)),"")</f>
        <v>2160.71721159739</v>
      </c>
      <c r="J102" s="5" t="n">
        <f aca="false">IF(E102=1,I102*(D102-$Q$4)^2,"")</f>
        <v>1.20011541258981</v>
      </c>
      <c r="K102" s="5" t="n">
        <f aca="false">IF(E102=1,I102^2,"")</f>
        <v>4668698.86849319</v>
      </c>
      <c r="L102" s="25" t="n">
        <f aca="false">IF(E102=1,(D102-$Q$4)/SQRT($Q$4*(1-$Q$4)/B102+$Q$11),"")</f>
        <v>-0.418270484793421</v>
      </c>
      <c r="M102" s="26" t="n">
        <f aca="false">IF(H102="","",NORMSDIST(-H102))</f>
        <v>0.667819867580107</v>
      </c>
      <c r="N102" s="5" t="str">
        <f aca="false">IF(H102="","",IF(H102&gt;$Q$14,"Sim","Não"))</f>
        <v>Não</v>
      </c>
      <c r="O102" s="2"/>
      <c r="P102" s="2"/>
      <c r="Q102" s="2"/>
      <c r="R102" s="2"/>
      <c r="S102" s="2"/>
      <c r="T102" s="2"/>
      <c r="U102" s="2"/>
      <c r="V102" s="2"/>
      <c r="W102" s="2"/>
      <c r="X102" s="2"/>
    </row>
    <row r="103" customFormat="false" ht="15" hidden="false" customHeight="false" outlineLevel="0" collapsed="false">
      <c r="A103" s="24" t="str">
        <f aca="false">'Taxa de occisão'!A103</f>
        <v>Penafiel</v>
      </c>
      <c r="B103" s="24" t="n">
        <f aca="false">'Taxa de occisão'!B103</f>
        <v>552</v>
      </c>
      <c r="C103" s="24" t="n">
        <f aca="false">'Taxa de occisão'!C103</f>
        <v>11</v>
      </c>
      <c r="D103" s="17" t="n">
        <f aca="false">C103/B103</f>
        <v>0.0199275362318841</v>
      </c>
      <c r="E103" s="5" t="n">
        <f aca="false">IF(B103&gt;=$Q$2,1,0)</f>
        <v>1</v>
      </c>
      <c r="F103" s="25" t="n">
        <f aca="false">IF(E103=1,(D103-$Q$4)/SQRT($Q$4*(1-$Q$4)/B103),"")</f>
        <v>-2.84763046694077</v>
      </c>
      <c r="G103" s="25" t="n">
        <f aca="false">IF(F103="","",MAX(MIN(F103,$Q$6),$Q$5))</f>
        <v>-2.84763046694077</v>
      </c>
      <c r="H103" s="25" t="n">
        <f aca="false">IF(F103="","",F103/SQRT($Q$7))</f>
        <v>-1.12787993325766</v>
      </c>
      <c r="I103" s="5" t="n">
        <f aca="false">IF(E103=1,B103/($Q$4*(1-$Q$4)),"")</f>
        <v>12824.9021591587</v>
      </c>
      <c r="J103" s="5" t="n">
        <f aca="false">IF(E103=1,I103*(D103-$Q$4)^2,"")</f>
        <v>8.10899927624929</v>
      </c>
      <c r="K103" s="5" t="n">
        <f aca="false">IF(E103=1,I103^2,"")</f>
        <v>164478115.391993</v>
      </c>
      <c r="L103" s="25" t="n">
        <f aca="false">IF(E103=1,(D103-$Q$4)/SQRT($Q$4*(1-$Q$4)/B103+$Q$11),"")</f>
        <v>-0.476058758296503</v>
      </c>
      <c r="M103" s="26" t="n">
        <f aca="false">IF(H103="","",NORMSDIST(-H103))</f>
        <v>0.870314685201257</v>
      </c>
      <c r="N103" s="5" t="str">
        <f aca="false">IF(H103="","",IF(H103&gt;$Q$14,"Sim","Não"))</f>
        <v>Não</v>
      </c>
      <c r="O103" s="2"/>
      <c r="P103" s="2"/>
      <c r="Q103" s="2"/>
      <c r="R103" s="2"/>
      <c r="S103" s="2"/>
      <c r="T103" s="2"/>
      <c r="U103" s="2"/>
      <c r="V103" s="2"/>
      <c r="W103" s="2"/>
      <c r="X103" s="2"/>
    </row>
    <row r="104" customFormat="false" ht="15" hidden="false" customHeight="false" outlineLevel="0" collapsed="false">
      <c r="A104" s="24" t="str">
        <f aca="false">'Taxa de occisão'!A104</f>
        <v>Odemira</v>
      </c>
      <c r="B104" s="24" t="n">
        <f aca="false">'Taxa de occisão'!B104</f>
        <v>104</v>
      </c>
      <c r="C104" s="24" t="n">
        <f aca="false">'Taxa de occisão'!C104</f>
        <v>2</v>
      </c>
      <c r="D104" s="17" t="n">
        <f aca="false">C104/B104</f>
        <v>0.0192307692307692</v>
      </c>
      <c r="E104" s="5" t="n">
        <f aca="false">IF(B104&gt;=$Q$2,1,0)</f>
        <v>1</v>
      </c>
      <c r="F104" s="25" t="n">
        <f aca="false">IF(E104=1,(D104-$Q$4)/SQRT($Q$4*(1-$Q$4)/B104),"")</f>
        <v>-1.27028507166965</v>
      </c>
      <c r="G104" s="25" t="n">
        <f aca="false">IF(F104="","",MAX(MIN(F104,$Q$6),$Q$5))</f>
        <v>-1.27028507166965</v>
      </c>
      <c r="H104" s="25" t="n">
        <f aca="false">IF(F104="","",F104/SQRT($Q$7))</f>
        <v>-0.50313025460504</v>
      </c>
      <c r="I104" s="5" t="n">
        <f aca="false">IF(E104=1,B104/($Q$4*(1-$Q$4)),"")</f>
        <v>2416.28591404439</v>
      </c>
      <c r="J104" s="5" t="n">
        <f aca="false">IF(E104=1,I104*(D104-$Q$4)^2,"")</f>
        <v>1.61362416330678</v>
      </c>
      <c r="K104" s="5" t="n">
        <f aca="false">IF(E104=1,I104^2,"")</f>
        <v>5838437.61840934</v>
      </c>
      <c r="L104" s="25" t="n">
        <f aca="false">IF(E104=1,(D104-$Q$4)/SQRT($Q$4*(1-$Q$4)/B104+$Q$11),"")</f>
        <v>-0.46221703155985</v>
      </c>
      <c r="M104" s="26" t="n">
        <f aca="false">IF(H104="","",NORMSDIST(-H104))</f>
        <v>0.692563651609033</v>
      </c>
      <c r="N104" s="5" t="str">
        <f aca="false">IF(H104="","",IF(H104&gt;$Q$14,"Sim","Não"))</f>
        <v>Não</v>
      </c>
      <c r="O104" s="2"/>
      <c r="P104" s="2"/>
      <c r="Q104" s="2"/>
      <c r="R104" s="2"/>
      <c r="S104" s="2"/>
      <c r="T104" s="2"/>
      <c r="U104" s="2"/>
      <c r="V104" s="2"/>
      <c r="W104" s="2"/>
      <c r="X104" s="2"/>
    </row>
    <row r="105" customFormat="false" ht="15" hidden="false" customHeight="false" outlineLevel="0" collapsed="false">
      <c r="A105" s="24" t="str">
        <f aca="false">'Taxa de occisão'!A105</f>
        <v>Moita 3 (outras Sp.)</v>
      </c>
      <c r="B105" s="24" t="n">
        <f aca="false">'Taxa de occisão'!B105</f>
        <v>226</v>
      </c>
      <c r="C105" s="24" t="n">
        <f aca="false">'Taxa de occisão'!C105</f>
        <v>4</v>
      </c>
      <c r="D105" s="17" t="n">
        <f aca="false">C105/B105</f>
        <v>0.0176991150442478</v>
      </c>
      <c r="E105" s="5" t="n">
        <f aca="false">IF(B105&gt;=$Q$2,1,0)</f>
        <v>1</v>
      </c>
      <c r="F105" s="25" t="n">
        <f aca="false">IF(E105=1,(D105-$Q$4)/SQRT($Q$4*(1-$Q$4)/B105),"")</f>
        <v>-1.98356002631031</v>
      </c>
      <c r="G105" s="25" t="n">
        <f aca="false">IF(F105="","",MAX(MIN(F105,$Q$6),$Q$5))</f>
        <v>-1.98356002631031</v>
      </c>
      <c r="H105" s="25" t="n">
        <f aca="false">IF(F105="","",F105/SQRT($Q$7))</f>
        <v>-0.785641808535257</v>
      </c>
      <c r="I105" s="5" t="n">
        <f aca="false">IF(E105=1,B105/($Q$4*(1-$Q$4)),"")</f>
        <v>5250.7751593657</v>
      </c>
      <c r="J105" s="5" t="n">
        <f aca="false">IF(E105=1,I105*(D105-$Q$4)^2,"")</f>
        <v>3.93451037797616</v>
      </c>
      <c r="K105" s="5" t="n">
        <f aca="false">IF(E105=1,I105^2,"")</f>
        <v>27570639.7742118</v>
      </c>
      <c r="L105" s="25" t="n">
        <f aca="false">IF(E105=1,(D105-$Q$4)/SQRT($Q$4*(1-$Q$4)/B105+$Q$11),"")</f>
        <v>-0.508107067723185</v>
      </c>
      <c r="M105" s="26" t="n">
        <f aca="false">IF(H105="","",NORMSDIST(-H105))</f>
        <v>0.783961318202308</v>
      </c>
      <c r="N105" s="5" t="str">
        <f aca="false">IF(H105="","",IF(H105&gt;$Q$14,"Sim","Não"))</f>
        <v>Não</v>
      </c>
      <c r="O105" s="2"/>
      <c r="P105" s="2"/>
      <c r="Q105" s="2"/>
      <c r="R105" s="2"/>
      <c r="S105" s="2"/>
      <c r="T105" s="2"/>
      <c r="U105" s="2"/>
      <c r="V105" s="2"/>
      <c r="W105" s="2"/>
      <c r="X105" s="2"/>
    </row>
    <row r="106" customFormat="false" ht="15" hidden="false" customHeight="false" outlineLevel="0" collapsed="false">
      <c r="A106" s="24" t="str">
        <f aca="false">'Taxa de occisão'!A106</f>
        <v>Oeiras 56 (outras Sp.)</v>
      </c>
      <c r="B106" s="24" t="n">
        <f aca="false">'Taxa de occisão'!B106</f>
        <v>799</v>
      </c>
      <c r="C106" s="24" t="n">
        <f aca="false">'Taxa de occisão'!C106</f>
        <v>14</v>
      </c>
      <c r="D106" s="17" t="n">
        <f aca="false">C106/B106</f>
        <v>0.0175219023779725</v>
      </c>
      <c r="E106" s="5" t="n">
        <f aca="false">IF(B106&gt;=$Q$2,1,0)</f>
        <v>1</v>
      </c>
      <c r="F106" s="25" t="n">
        <f aca="false">IF(E106=1,(D106-$Q$4)/SQRT($Q$4*(1-$Q$4)/B106),"")</f>
        <v>-3.75376433392369</v>
      </c>
      <c r="G106" s="25" t="n">
        <f aca="false">IF(F106="","",MAX(MIN(F106,$Q$6),$Q$5))</f>
        <v>-3.58701204260275</v>
      </c>
      <c r="H106" s="25" t="n">
        <f aca="false">IF(F106="","",F106/SQRT($Q$7))</f>
        <v>-1.48677839893996</v>
      </c>
      <c r="I106" s="5" t="n">
        <f aca="false">IF(E106=1,B106/($Q$4*(1-$Q$4)),"")</f>
        <v>18563.5812050141</v>
      </c>
      <c r="J106" s="5" t="n">
        <f aca="false">IF(E106=1,I106*(D106-$Q$4)^2,"")</f>
        <v>14.0907466746376</v>
      </c>
      <c r="K106" s="5" t="n">
        <f aca="false">IF(E106=1,I106^2,"")</f>
        <v>344606547.155154</v>
      </c>
      <c r="L106" s="25" t="n">
        <f aca="false">IF(E106=1,(D106-$Q$4)/SQRT($Q$4*(1-$Q$4)/B106+$Q$11),"")</f>
        <v>-0.523870982467456</v>
      </c>
      <c r="M106" s="26" t="n">
        <f aca="false">IF(H106="","",NORMSDIST(-H106))</f>
        <v>0.931463325774542</v>
      </c>
      <c r="N106" s="5" t="str">
        <f aca="false">IF(H106="","",IF(H106&gt;$Q$14,"Sim","Não"))</f>
        <v>Não</v>
      </c>
      <c r="O106" s="2"/>
      <c r="P106" s="2"/>
      <c r="Q106" s="2"/>
      <c r="R106" s="2"/>
      <c r="S106" s="2"/>
      <c r="T106" s="2"/>
      <c r="U106" s="2"/>
      <c r="V106" s="2"/>
      <c r="W106" s="2"/>
      <c r="X106" s="2"/>
    </row>
    <row r="107" customFormat="false" ht="15" hidden="false" customHeight="false" outlineLevel="0" collapsed="false">
      <c r="A107" s="24" t="str">
        <f aca="false">'Taxa de occisão'!A107</f>
        <v>Ourém</v>
      </c>
      <c r="B107" s="24" t="n">
        <f aca="false">'Taxa de occisão'!B107</f>
        <v>410</v>
      </c>
      <c r="C107" s="24" t="n">
        <f aca="false">'Taxa de occisão'!C107</f>
        <v>7</v>
      </c>
      <c r="D107" s="17" t="n">
        <f aca="false">C107/B107</f>
        <v>0.0170731707317073</v>
      </c>
      <c r="E107" s="5" t="n">
        <f aca="false">IF(B107&gt;=$Q$2,1,0)</f>
        <v>1</v>
      </c>
      <c r="F107" s="25" t="n">
        <f aca="false">IF(E107=1,(D107-$Q$4)/SQRT($Q$4*(1-$Q$4)/B107),"")</f>
        <v>-2.73276360105528</v>
      </c>
      <c r="G107" s="25" t="n">
        <f aca="false">IF(F107="","",MAX(MIN(F107,$Q$6),$Q$5))</f>
        <v>-2.73276360105528</v>
      </c>
      <c r="H107" s="25" t="n">
        <f aca="false">IF(F107="","",F107/SQRT($Q$7))</f>
        <v>-1.08238384992364</v>
      </c>
      <c r="I107" s="5" t="n">
        <f aca="false">IF(E107=1,B107/($Q$4*(1-$Q$4)),"")</f>
        <v>9525.74254575193</v>
      </c>
      <c r="J107" s="5" t="n">
        <f aca="false">IF(E107=1,I107*(D107-$Q$4)^2,"")</f>
        <v>7.46799689925264</v>
      </c>
      <c r="K107" s="5" t="n">
        <f aca="false">IF(E107=1,I107^2,"")</f>
        <v>90739771.0479484</v>
      </c>
      <c r="L107" s="25" t="n">
        <f aca="false">IF(E107=1,(D107-$Q$4)/SQRT($Q$4*(1-$Q$4)/B107+$Q$11),"")</f>
        <v>-0.527551434560559</v>
      </c>
      <c r="M107" s="26" t="n">
        <f aca="false">IF(H107="","",NORMSDIST(-H107))</f>
        <v>0.860458999269168</v>
      </c>
      <c r="N107" s="5" t="str">
        <f aca="false">IF(H107="","",IF(H107&gt;$Q$14,"Sim","Não"))</f>
        <v>Não</v>
      </c>
      <c r="O107" s="2"/>
      <c r="P107" s="2"/>
      <c r="Q107" s="2"/>
      <c r="R107" s="2"/>
      <c r="S107" s="2"/>
      <c r="T107" s="2"/>
      <c r="U107" s="2"/>
      <c r="V107" s="2"/>
      <c r="W107" s="2"/>
      <c r="X107" s="2"/>
    </row>
    <row r="108" customFormat="false" ht="15" hidden="false" customHeight="false" outlineLevel="0" collapsed="false">
      <c r="A108" s="24" t="str">
        <f aca="false">'Taxa de occisão'!A108</f>
        <v>Braga</v>
      </c>
      <c r="B108" s="24" t="n">
        <f aca="false">'Taxa de occisão'!B108</f>
        <v>721</v>
      </c>
      <c r="C108" s="24" t="n">
        <f aca="false">'Taxa de occisão'!C108</f>
        <v>12</v>
      </c>
      <c r="D108" s="17" t="n">
        <f aca="false">C108/B108</f>
        <v>0.0166435506241331</v>
      </c>
      <c r="E108" s="5" t="n">
        <f aca="false">IF(B108&gt;=$Q$2,1,0)</f>
        <v>1</v>
      </c>
      <c r="F108" s="25" t="n">
        <f aca="false">IF(E108=1,(D108-$Q$4)/SQRT($Q$4*(1-$Q$4)/B108),"")</f>
        <v>-3.67951751851226</v>
      </c>
      <c r="G108" s="25" t="n">
        <f aca="false">IF(F108="","",MAX(MIN(F108,$Q$6),$Q$5))</f>
        <v>-3.58701204260275</v>
      </c>
      <c r="H108" s="25" t="n">
        <f aca="false">IF(F108="","",F108/SQRT($Q$7))</f>
        <v>-1.4573709690845</v>
      </c>
      <c r="I108" s="5" t="n">
        <f aca="false">IF(E108=1,B108/($Q$4*(1-$Q$4)),"")</f>
        <v>16751.3667694808</v>
      </c>
      <c r="J108" s="5" t="n">
        <f aca="false">IF(E108=1,I108*(D108-$Q$4)^2,"")</f>
        <v>13.5388491690386</v>
      </c>
      <c r="K108" s="5" t="n">
        <f aca="false">IF(E108=1,I108^2,"")</f>
        <v>280608288.645667</v>
      </c>
      <c r="L108" s="25" t="n">
        <f aca="false">IF(E108=1,(D108-$Q$4)/SQRT($Q$4*(1-$Q$4)/B108+$Q$11),"")</f>
        <v>-0.540003922029564</v>
      </c>
      <c r="M108" s="26" t="n">
        <f aca="false">IF(H108="","",NORMSDIST(-H108))</f>
        <v>0.927492996882267</v>
      </c>
      <c r="N108" s="5" t="str">
        <f aca="false">IF(H108="","",IF(H108&gt;$Q$14,"Sim","Não"))</f>
        <v>Não</v>
      </c>
      <c r="O108" s="2"/>
      <c r="P108" s="2"/>
      <c r="Q108" s="2"/>
      <c r="R108" s="2"/>
      <c r="S108" s="2"/>
      <c r="T108" s="2"/>
      <c r="U108" s="2"/>
      <c r="V108" s="2"/>
      <c r="W108" s="2"/>
      <c r="X108" s="2"/>
    </row>
    <row r="109" customFormat="false" ht="15" hidden="false" customHeight="false" outlineLevel="0" collapsed="false">
      <c r="A109" s="24" t="str">
        <f aca="false">'Taxa de occisão'!A109</f>
        <v>Lagoa</v>
      </c>
      <c r="B109" s="24" t="n">
        <f aca="false">'Taxa de occisão'!B109</f>
        <v>126</v>
      </c>
      <c r="C109" s="24" t="n">
        <f aca="false">'Taxa de occisão'!C109</f>
        <v>2</v>
      </c>
      <c r="D109" s="17" t="n">
        <f aca="false">C109/B109</f>
        <v>0.0158730158730159</v>
      </c>
      <c r="E109" s="5" t="n">
        <f aca="false">IF(B109&gt;=$Q$2,1,0)</f>
        <v>1</v>
      </c>
      <c r="F109" s="25" t="n">
        <f aca="false">IF(E109=1,(D109-$Q$4)/SQRT($Q$4*(1-$Q$4)/B109),"")</f>
        <v>-1.57987509657913</v>
      </c>
      <c r="G109" s="25" t="n">
        <f aca="false">IF(F109="","",MAX(MIN(F109,$Q$6),$Q$5))</f>
        <v>-1.57987509657913</v>
      </c>
      <c r="H109" s="25" t="n">
        <f aca="false">IF(F109="","",F109/SQRT($Q$7))</f>
        <v>-0.625751634269959</v>
      </c>
      <c r="I109" s="5" t="n">
        <f aca="false">IF(E109=1,B109/($Q$4*(1-$Q$4)),"")</f>
        <v>2927.4233189384</v>
      </c>
      <c r="J109" s="5" t="n">
        <f aca="false">IF(E109=1,I109*(D109-$Q$4)^2,"")</f>
        <v>2.49600532079091</v>
      </c>
      <c r="K109" s="5" t="n">
        <f aca="false">IF(E109=1,I109^2,"")</f>
        <v>8569807.2882643</v>
      </c>
      <c r="L109" s="25" t="n">
        <f aca="false">IF(E109=1,(D109-$Q$4)/SQRT($Q$4*(1-$Q$4)/B109+$Q$11),"")</f>
        <v>-0.528418172281899</v>
      </c>
      <c r="M109" s="26" t="n">
        <f aca="false">IF(H109="","",NORMSDIST(-H109))</f>
        <v>0.734261070030968</v>
      </c>
      <c r="N109" s="5" t="str">
        <f aca="false">IF(H109="","",IF(H109&gt;$Q$14,"Sim","Não"))</f>
        <v>Não</v>
      </c>
      <c r="O109" s="2"/>
      <c r="P109" s="2"/>
      <c r="Q109" s="2"/>
      <c r="R109" s="2"/>
      <c r="S109" s="2"/>
      <c r="T109" s="2"/>
      <c r="U109" s="2"/>
      <c r="V109" s="2"/>
      <c r="W109" s="2"/>
      <c r="X109" s="2"/>
    </row>
    <row r="110" customFormat="false" ht="15" hidden="false" customHeight="false" outlineLevel="0" collapsed="false">
      <c r="A110" s="24" t="str">
        <f aca="false">'Taxa de occisão'!A110</f>
        <v>Lagos</v>
      </c>
      <c r="B110" s="24" t="n">
        <f aca="false">'Taxa de occisão'!B110</f>
        <v>66</v>
      </c>
      <c r="C110" s="24" t="n">
        <f aca="false">'Taxa de occisão'!C110</f>
        <v>1</v>
      </c>
      <c r="D110" s="17" t="n">
        <f aca="false">C110/B110</f>
        <v>0.0151515151515152</v>
      </c>
      <c r="E110" s="5" t="n">
        <f aca="false">IF(B110&gt;=$Q$2,1,0)</f>
        <v>1</v>
      </c>
      <c r="F110" s="25" t="n">
        <f aca="false">IF(E110=1,(D110-$Q$4)/SQRT($Q$4*(1-$Q$4)/B110),"")</f>
        <v>-1.17168275533605</v>
      </c>
      <c r="G110" s="25" t="n">
        <f aca="false">IF(F110="","",MAX(MIN(F110,$Q$6),$Q$5))</f>
        <v>-1.17168275533605</v>
      </c>
      <c r="H110" s="25" t="n">
        <f aca="false">IF(F110="","",F110/SQRT($Q$7))</f>
        <v>-0.464076179556859</v>
      </c>
      <c r="I110" s="5" t="n">
        <f aca="false">IF(E110=1,B110/($Q$4*(1-$Q$4)),"")</f>
        <v>1533.41221468202</v>
      </c>
      <c r="J110" s="5" t="n">
        <f aca="false">IF(E110=1,I110*(D110-$Q$4)^2,"")</f>
        <v>1.37284047915189</v>
      </c>
      <c r="K110" s="5" t="n">
        <f aca="false">IF(E110=1,I110^2,"")</f>
        <v>2351353.02013601</v>
      </c>
      <c r="L110" s="25" t="n">
        <f aca="false">IF(E110=1,(D110-$Q$4)/SQRT($Q$4*(1-$Q$4)/B110+$Q$11),"")</f>
        <v>-0.515877786897567</v>
      </c>
      <c r="M110" s="26" t="n">
        <f aca="false">IF(H110="","",NORMSDIST(-H110))</f>
        <v>0.678703416327456</v>
      </c>
      <c r="N110" s="5" t="str">
        <f aca="false">IF(H110="","",IF(H110&gt;$Q$14,"Sim","Não"))</f>
        <v>Não</v>
      </c>
      <c r="O110" s="2"/>
      <c r="P110" s="2"/>
      <c r="Q110" s="2"/>
      <c r="R110" s="2"/>
      <c r="S110" s="2"/>
      <c r="T110" s="2"/>
      <c r="U110" s="2"/>
      <c r="V110" s="2"/>
      <c r="W110" s="2"/>
      <c r="X110" s="2"/>
    </row>
    <row r="111" customFormat="false" ht="15" hidden="false" customHeight="false" outlineLevel="0" collapsed="false">
      <c r="A111" s="24" t="str">
        <f aca="false">'Taxa de occisão'!A111</f>
        <v>Vale de Cambra</v>
      </c>
      <c r="B111" s="24" t="n">
        <f aca="false">'Taxa de occisão'!B111</f>
        <v>73</v>
      </c>
      <c r="C111" s="24" t="n">
        <f aca="false">'Taxa de occisão'!C111</f>
        <v>1</v>
      </c>
      <c r="D111" s="17" t="n">
        <f aca="false">C111/B111</f>
        <v>0.0136986301369863</v>
      </c>
      <c r="E111" s="5" t="n">
        <f aca="false">IF(B111&gt;=$Q$2,1,0)</f>
        <v>1</v>
      </c>
      <c r="F111" s="25" t="n">
        <f aca="false">IF(E111=1,(D111-$Q$4)/SQRT($Q$4*(1-$Q$4)/B111),"")</f>
        <v>-1.2920862043764</v>
      </c>
      <c r="G111" s="25" t="n">
        <f aca="false">IF(F111="","",MAX(MIN(F111,$Q$6),$Q$5))</f>
        <v>-1.2920862043764</v>
      </c>
      <c r="H111" s="25" t="n">
        <f aca="false">IF(F111="","",F111/SQRT($Q$7))</f>
        <v>-0.511765174194394</v>
      </c>
      <c r="I111" s="5" t="n">
        <f aca="false">IF(E111=1,B111/($Q$4*(1-$Q$4)),"")</f>
        <v>1696.04684351193</v>
      </c>
      <c r="J111" s="5" t="n">
        <f aca="false">IF(E111=1,I111*(D111-$Q$4)^2,"")</f>
        <v>1.66948675953982</v>
      </c>
      <c r="K111" s="5" t="n">
        <f aca="false">IF(E111=1,I111^2,"")</f>
        <v>2876574.89538678</v>
      </c>
      <c r="L111" s="25" t="n">
        <f aca="false">IF(E111=1,(D111-$Q$4)/SQRT($Q$4*(1-$Q$4)/B111+$Q$11),"")</f>
        <v>-0.546025955736493</v>
      </c>
      <c r="M111" s="26" t="n">
        <f aca="false">IF(H111="","",NORMSDIST(-H111))</f>
        <v>0.695592316729065</v>
      </c>
      <c r="N111" s="5" t="str">
        <f aca="false">IF(H111="","",IF(H111&gt;$Q$14,"Sim","Não"))</f>
        <v>Não</v>
      </c>
      <c r="O111" s="2"/>
      <c r="P111" s="2"/>
      <c r="Q111" s="2"/>
      <c r="R111" s="2"/>
      <c r="S111" s="2"/>
      <c r="T111" s="2"/>
      <c r="U111" s="2"/>
      <c r="V111" s="2"/>
      <c r="W111" s="2"/>
      <c r="X111" s="2"/>
    </row>
    <row r="112" customFormat="false" ht="15" hidden="false" customHeight="false" outlineLevel="0" collapsed="false">
      <c r="A112" s="24" t="str">
        <f aca="false">'Taxa de occisão'!A112</f>
        <v>Coruche</v>
      </c>
      <c r="B112" s="24" t="n">
        <f aca="false">'Taxa de occisão'!B112</f>
        <v>161</v>
      </c>
      <c r="C112" s="24" t="n">
        <f aca="false">'Taxa de occisão'!C112</f>
        <v>2</v>
      </c>
      <c r="D112" s="17" t="n">
        <f aca="false">C112/B112</f>
        <v>0.0124223602484472</v>
      </c>
      <c r="E112" s="5" t="n">
        <f aca="false">IF(B112&gt;=$Q$2,1,0)</f>
        <v>1</v>
      </c>
      <c r="F112" s="25" t="n">
        <f aca="false">IF(E112=1,(D112-$Q$4)/SQRT($Q$4*(1-$Q$4)/B112),"")</f>
        <v>-1.99691590569855</v>
      </c>
      <c r="G112" s="25" t="n">
        <f aca="false">IF(F112="","",MAX(MIN(F112,$Q$6),$Q$5))</f>
        <v>-1.99691590569855</v>
      </c>
      <c r="H112" s="25" t="n">
        <f aca="false">IF(F112="","",F112/SQRT($Q$7))</f>
        <v>-0.790931760489306</v>
      </c>
      <c r="I112" s="5" t="n">
        <f aca="false">IF(E112=1,B112/($Q$4*(1-$Q$4)),"")</f>
        <v>3740.59646308795</v>
      </c>
      <c r="J112" s="5" t="n">
        <f aca="false">IF(E112=1,I112*(D112-$Q$4)^2,"")</f>
        <v>3.98767313443185</v>
      </c>
      <c r="K112" s="5" t="n">
        <f aca="false">IF(E112=1,I112^2,"")</f>
        <v>13992061.8996661</v>
      </c>
      <c r="L112" s="25" t="n">
        <f aca="false">IF(E112=1,(D112-$Q$4)/SQRT($Q$4*(1-$Q$4)/B112+$Q$11),"")</f>
        <v>-0.598181886765792</v>
      </c>
      <c r="M112" s="26" t="n">
        <f aca="false">IF(H112="","",NORMSDIST(-H112))</f>
        <v>0.785508093269173</v>
      </c>
      <c r="N112" s="5" t="str">
        <f aca="false">IF(H112="","",IF(H112&gt;$Q$14,"Sim","Não"))</f>
        <v>Não</v>
      </c>
      <c r="O112" s="2"/>
      <c r="P112" s="2"/>
      <c r="Q112" s="2"/>
      <c r="R112" s="2"/>
      <c r="S112" s="2"/>
      <c r="T112" s="2"/>
      <c r="U112" s="2"/>
      <c r="V112" s="2"/>
      <c r="W112" s="2"/>
      <c r="X112" s="2"/>
    </row>
    <row r="113" customFormat="false" ht="15" hidden="false" customHeight="false" outlineLevel="0" collapsed="false">
      <c r="A113" s="24" t="str">
        <f aca="false">'Taxa de occisão'!A113</f>
        <v>Batalha</v>
      </c>
      <c r="B113" s="24" t="n">
        <f aca="false">'Taxa de occisão'!B113</f>
        <v>87</v>
      </c>
      <c r="C113" s="24" t="n">
        <f aca="false">'Taxa de occisão'!C113</f>
        <v>1</v>
      </c>
      <c r="D113" s="17" t="n">
        <f aca="false">C113/B113</f>
        <v>0.0114942528735632</v>
      </c>
      <c r="E113" s="5" t="n">
        <f aca="false">IF(B113&gt;=$Q$2,1,0)</f>
        <v>1</v>
      </c>
      <c r="F113" s="25" t="n">
        <f aca="false">IF(E113=1,(D113-$Q$4)/SQRT($Q$4*(1-$Q$4)/B113),"")</f>
        <v>-1.50966060491909</v>
      </c>
      <c r="G113" s="25" t="n">
        <f aca="false">IF(F113="","",MAX(MIN(F113,$Q$6),$Q$5))</f>
        <v>-1.50966060491909</v>
      </c>
      <c r="H113" s="25" t="n">
        <f aca="false">IF(F113="","",F113/SQRT($Q$7))</f>
        <v>-0.597941313694087</v>
      </c>
      <c r="I113" s="5" t="n">
        <f aca="false">IF(E113=1,B113/($Q$4*(1-$Q$4)),"")</f>
        <v>2021.31610117175</v>
      </c>
      <c r="J113" s="5" t="n">
        <f aca="false">IF(E113=1,I113*(D113-$Q$4)^2,"")</f>
        <v>2.27907514204467</v>
      </c>
      <c r="K113" s="5" t="n">
        <f aca="false">IF(E113=1,I113^2,"")</f>
        <v>4085718.78085617</v>
      </c>
      <c r="L113" s="25" t="n">
        <f aca="false">IF(E113=1,(D113-$Q$4)/SQRT($Q$4*(1-$Q$4)/B113+$Q$11),"")</f>
        <v>-0.592972651471204</v>
      </c>
      <c r="M113" s="26" t="n">
        <f aca="false">IF(H113="","",NORMSDIST(-H113))</f>
        <v>0.725060453952995</v>
      </c>
      <c r="N113" s="5" t="str">
        <f aca="false">IF(H113="","",IF(H113&gt;$Q$14,"Sim","Não"))</f>
        <v>Não</v>
      </c>
      <c r="O113" s="2"/>
      <c r="P113" s="2"/>
      <c r="Q113" s="2"/>
      <c r="R113" s="2"/>
      <c r="S113" s="2"/>
      <c r="T113" s="2"/>
      <c r="U113" s="2"/>
      <c r="V113" s="2"/>
      <c r="W113" s="2"/>
      <c r="X113" s="2"/>
    </row>
    <row r="114" customFormat="false" ht="15" hidden="false" customHeight="false" outlineLevel="0" collapsed="false">
      <c r="A114" s="24" t="str">
        <f aca="false">'Taxa de occisão'!A114</f>
        <v>Aljustrel</v>
      </c>
      <c r="B114" s="24" t="n">
        <f aca="false">'Taxa de occisão'!B114</f>
        <v>93</v>
      </c>
      <c r="C114" s="24" t="n">
        <f aca="false">'Taxa de occisão'!C114</f>
        <v>1</v>
      </c>
      <c r="D114" s="17" t="n">
        <f aca="false">C114/B114</f>
        <v>0.010752688172043</v>
      </c>
      <c r="E114" s="5" t="n">
        <f aca="false">IF(B114&gt;=$Q$2,1,0)</f>
        <v>1</v>
      </c>
      <c r="F114" s="25" t="n">
        <f aca="false">IF(E114=1,(D114-$Q$4)/SQRT($Q$4*(1-$Q$4)/B114),"")</f>
        <v>-1.59532053926482</v>
      </c>
      <c r="G114" s="25" t="n">
        <f aca="false">IF(F114="","",MAX(MIN(F114,$Q$6),$Q$5))</f>
        <v>-1.59532053926482</v>
      </c>
      <c r="H114" s="25" t="n">
        <f aca="false">IF(F114="","",F114/SQRT($Q$7))</f>
        <v>-0.631869213452972</v>
      </c>
      <c r="I114" s="5" t="n">
        <f aca="false">IF(E114=1,B114/($Q$4*(1-$Q$4)),"")</f>
        <v>2160.71721159739</v>
      </c>
      <c r="J114" s="5" t="n">
        <f aca="false">IF(E114=1,I114*(D114-$Q$4)^2,"")</f>
        <v>2.54504762300018</v>
      </c>
      <c r="K114" s="5" t="n">
        <f aca="false">IF(E114=1,I114^2,"")</f>
        <v>4668698.86849319</v>
      </c>
      <c r="L114" s="25" t="n">
        <f aca="false">IF(E114=1,(D114-$Q$4)/SQRT($Q$4*(1-$Q$4)/B114+$Q$11),"")</f>
        <v>-0.609107111073209</v>
      </c>
      <c r="M114" s="26" t="n">
        <f aca="false">IF(H114="","",NORMSDIST(-H114))</f>
        <v>0.736263828989799</v>
      </c>
      <c r="N114" s="5" t="str">
        <f aca="false">IF(H114="","",IF(H114&gt;$Q$14,"Sim","Não"))</f>
        <v>Não</v>
      </c>
      <c r="O114" s="2"/>
      <c r="P114" s="2"/>
      <c r="Q114" s="2"/>
      <c r="R114" s="2"/>
      <c r="S114" s="2"/>
      <c r="T114" s="2"/>
      <c r="U114" s="2"/>
      <c r="V114" s="2"/>
      <c r="W114" s="2"/>
      <c r="X114" s="2"/>
    </row>
    <row r="115" customFormat="false" ht="15" hidden="false" customHeight="false" outlineLevel="0" collapsed="false">
      <c r="A115" s="24" t="str">
        <f aca="false">'Taxa de occisão'!A115</f>
        <v>Albergaria-a-Velha</v>
      </c>
      <c r="B115" s="24" t="n">
        <f aca="false">'Taxa de occisão'!B115</f>
        <v>216</v>
      </c>
      <c r="C115" s="24" t="n">
        <f aca="false">'Taxa de occisão'!C115</f>
        <v>2</v>
      </c>
      <c r="D115" s="17" t="n">
        <f aca="false">C115/B115</f>
        <v>0.00925925925925926</v>
      </c>
      <c r="E115" s="5" t="n">
        <f aca="false">IF(B115&gt;=$Q$2,1,0)</f>
        <v>1</v>
      </c>
      <c r="F115" s="25" t="n">
        <f aca="false">IF(E115=1,(D115-$Q$4)/SQRT($Q$4*(1-$Q$4)/B115),"")</f>
        <v>-2.53706685371519</v>
      </c>
      <c r="G115" s="25" t="n">
        <f aca="false">IF(F115="","",MAX(MIN(F115,$Q$6),$Q$5))</f>
        <v>-2.53706685371519</v>
      </c>
      <c r="H115" s="25" t="n">
        <f aca="false">IF(F115="","",F115/SQRT($Q$7))</f>
        <v>-1.00487293799489</v>
      </c>
      <c r="I115" s="5" t="n">
        <f aca="false">IF(E115=1,B115/($Q$4*(1-$Q$4)),"")</f>
        <v>5018.43997532297</v>
      </c>
      <c r="J115" s="5" t="n">
        <f aca="false">IF(E115=1,I115*(D115-$Q$4)^2,"")</f>
        <v>6.43670822022029</v>
      </c>
      <c r="K115" s="5" t="n">
        <f aca="false">IF(E115=1,I115^2,"")</f>
        <v>25184739.7859196</v>
      </c>
      <c r="L115" s="25" t="n">
        <f aca="false">IF(E115=1,(D115-$Q$4)/SQRT($Q$4*(1-$Q$4)/B115+$Q$11),"")</f>
        <v>-0.663759092626366</v>
      </c>
      <c r="M115" s="26" t="n">
        <f aca="false">IF(H115="","",NORMSDIST(-H115))</f>
        <v>0.842520981556153</v>
      </c>
      <c r="N115" s="5" t="str">
        <f aca="false">IF(H115="","",IF(H115&gt;$Q$14,"Sim","Não"))</f>
        <v>Não</v>
      </c>
      <c r="O115" s="2"/>
      <c r="P115" s="2"/>
      <c r="Q115" s="2"/>
      <c r="R115" s="2"/>
      <c r="S115" s="2"/>
      <c r="T115" s="2"/>
      <c r="U115" s="2"/>
      <c r="V115" s="2"/>
      <c r="W115" s="2"/>
      <c r="X115" s="2"/>
    </row>
    <row r="116" customFormat="false" ht="15" hidden="false" customHeight="false" outlineLevel="0" collapsed="false">
      <c r="A116" s="24" t="str">
        <f aca="false">'Taxa de occisão'!A116</f>
        <v>Almeida</v>
      </c>
      <c r="B116" s="24" t="n">
        <f aca="false">'Taxa de occisão'!B116</f>
        <v>220</v>
      </c>
      <c r="C116" s="24" t="n">
        <f aca="false">'Taxa de occisão'!C116</f>
        <v>2</v>
      </c>
      <c r="D116" s="17" t="n">
        <f aca="false">C116/B116</f>
        <v>0.00909090909090909</v>
      </c>
      <c r="E116" s="5" t="n">
        <f aca="false">IF(B116&gt;=$Q$2,1,0)</f>
        <v>1</v>
      </c>
      <c r="F116" s="25" t="n">
        <f aca="false">IF(E116=1,(D116-$Q$4)/SQRT($Q$4*(1-$Q$4)/B116),"")</f>
        <v>-2.5724864584318</v>
      </c>
      <c r="G116" s="25" t="n">
        <f aca="false">IF(F116="","",MAX(MIN(F116,$Q$6),$Q$5))</f>
        <v>-2.5724864584318</v>
      </c>
      <c r="H116" s="25" t="n">
        <f aca="false">IF(F116="","",F116/SQRT($Q$7))</f>
        <v>-1.01890181634395</v>
      </c>
      <c r="I116" s="5" t="n">
        <f aca="false">IF(E116=1,B116/($Q$4*(1-$Q$4)),"")</f>
        <v>5111.37404894006</v>
      </c>
      <c r="J116" s="5" t="n">
        <f aca="false">IF(E116=1,I116*(D116-$Q$4)^2,"")</f>
        <v>6.61768657881499</v>
      </c>
      <c r="K116" s="5" t="n">
        <f aca="false">IF(E116=1,I116^2,"")</f>
        <v>26126144.6681779</v>
      </c>
      <c r="L116" s="25" t="n">
        <f aca="false">IF(E116=1,(D116-$Q$4)/SQRT($Q$4*(1-$Q$4)/B116+$Q$11),"")</f>
        <v>-0.667294602868096</v>
      </c>
      <c r="M116" s="26" t="n">
        <f aca="false">IF(H116="","",NORMSDIST(-H116))</f>
        <v>0.845875209339877</v>
      </c>
      <c r="N116" s="5" t="str">
        <f aca="false">IF(H116="","",IF(H116&gt;$Q$14,"Sim","Não"))</f>
        <v>Não</v>
      </c>
      <c r="O116" s="2"/>
      <c r="P116" s="2"/>
      <c r="Q116" s="2"/>
      <c r="R116" s="2"/>
      <c r="S116" s="2"/>
      <c r="T116" s="2"/>
      <c r="U116" s="2"/>
      <c r="V116" s="2"/>
      <c r="W116" s="2"/>
      <c r="X116" s="2"/>
    </row>
    <row r="117" customFormat="false" ht="15" hidden="false" customHeight="false" outlineLevel="0" collapsed="false">
      <c r="A117" s="24" t="str">
        <f aca="false">'Taxa de occisão'!A117</f>
        <v>Póvoa de Varzim</v>
      </c>
      <c r="B117" s="24" t="n">
        <f aca="false">'Taxa de occisão'!B117</f>
        <v>117</v>
      </c>
      <c r="C117" s="24" t="n">
        <f aca="false">'Taxa de occisão'!C117</f>
        <v>1</v>
      </c>
      <c r="D117" s="17" t="n">
        <f aca="false">C117/B117</f>
        <v>0.00854700854700855</v>
      </c>
      <c r="E117" s="5" t="n">
        <f aca="false">IF(B117&gt;=$Q$2,1,0)</f>
        <v>1</v>
      </c>
      <c r="F117" s="25" t="n">
        <f aca="false">IF(E117=1,(D117-$Q$4)/SQRT($Q$4*(1-$Q$4)/B117),"")</f>
        <v>-1.90436563643198</v>
      </c>
      <c r="G117" s="25" t="n">
        <f aca="false">IF(F117="","",MAX(MIN(F117,$Q$6),$Q$5))</f>
        <v>-1.90436563643198</v>
      </c>
      <c r="H117" s="25" t="n">
        <f aca="false">IF(F117="","",F117/SQRT($Q$7))</f>
        <v>-0.754274759963708</v>
      </c>
      <c r="I117" s="5" t="n">
        <f aca="false">IF(E117=1,B117/($Q$4*(1-$Q$4)),"")</f>
        <v>2718.32165329994</v>
      </c>
      <c r="J117" s="5" t="n">
        <f aca="false">IF(E117=1,I117*(D117-$Q$4)^2,"")</f>
        <v>3.62660847722297</v>
      </c>
      <c r="K117" s="5" t="n">
        <f aca="false">IF(E117=1,I117^2,"")</f>
        <v>7389272.61079932</v>
      </c>
      <c r="L117" s="25" t="n">
        <f aca="false">IF(E117=1,(D117-$Q$4)/SQRT($Q$4*(1-$Q$4)/B117+$Q$11),"")</f>
        <v>-0.658168424773419</v>
      </c>
      <c r="M117" s="26" t="n">
        <f aca="false">IF(H117="","",NORMSDIST(-H117))</f>
        <v>0.774657872582803</v>
      </c>
      <c r="N117" s="5" t="str">
        <f aca="false">IF(H117="","",IF(H117&gt;$Q$14,"Sim","Não"))</f>
        <v>Não</v>
      </c>
      <c r="O117" s="2"/>
      <c r="P117" s="2"/>
      <c r="Q117" s="2"/>
      <c r="R117" s="2"/>
      <c r="S117" s="2"/>
      <c r="T117" s="2"/>
      <c r="U117" s="2"/>
      <c r="V117" s="2"/>
      <c r="W117" s="2"/>
      <c r="X117" s="2"/>
    </row>
    <row r="118" customFormat="false" ht="15" hidden="false" customHeight="false" outlineLevel="0" collapsed="false">
      <c r="A118" s="24" t="str">
        <f aca="false">'Taxa de occisão'!A118</f>
        <v>Angra do Heroísmo (CRO Intermunic. da Terceira)</v>
      </c>
      <c r="B118" s="24" t="n">
        <f aca="false">'Taxa de occisão'!B118</f>
        <v>354</v>
      </c>
      <c r="C118" s="24" t="n">
        <f aca="false">'Taxa de occisão'!C118</f>
        <v>3</v>
      </c>
      <c r="D118" s="17" t="n">
        <f aca="false">C118/B118</f>
        <v>0.00847457627118644</v>
      </c>
      <c r="E118" s="5" t="n">
        <f aca="false">IF(B118&gt;=$Q$2,1,0)</f>
        <v>1</v>
      </c>
      <c r="F118" s="25" t="n">
        <f aca="false">IF(E118=1,(D118-$Q$4)/SQRT($Q$4*(1-$Q$4)/B118),"")</f>
        <v>-3.31909290030829</v>
      </c>
      <c r="G118" s="25" t="n">
        <f aca="false">IF(F118="","",MAX(MIN(F118,$Q$6),$Q$5))</f>
        <v>-3.31909290030829</v>
      </c>
      <c r="H118" s="25" t="n">
        <f aca="false">IF(F118="","",F118/SQRT($Q$7))</f>
        <v>-1.31461519404848</v>
      </c>
      <c r="I118" s="5" t="n">
        <f aca="false">IF(E118=1,B118/($Q$4*(1-$Q$4)),"")</f>
        <v>8224.66551511264</v>
      </c>
      <c r="J118" s="5" t="n">
        <f aca="false">IF(E118=1,I118*(D118-$Q$4)^2,"")</f>
        <v>11.0163776808769</v>
      </c>
      <c r="K118" s="5" t="n">
        <f aca="false">IF(E118=1,I118^2,"")</f>
        <v>67645122.8354831</v>
      </c>
      <c r="L118" s="25" t="n">
        <f aca="false">IF(E118=1,(D118-$Q$4)/SQRT($Q$4*(1-$Q$4)/B118+$Q$11),"")</f>
        <v>-0.687536956536399</v>
      </c>
      <c r="M118" s="26" t="n">
        <f aca="false">IF(H118="","",NORMSDIST(-H118))</f>
        <v>0.905680369466063</v>
      </c>
      <c r="N118" s="5" t="str">
        <f aca="false">IF(H118="","",IF(H118&gt;$Q$14,"Sim","Não"))</f>
        <v>Não</v>
      </c>
      <c r="O118" s="2"/>
      <c r="P118" s="2"/>
      <c r="Q118" s="2"/>
      <c r="R118" s="2"/>
      <c r="S118" s="2"/>
      <c r="T118" s="2"/>
      <c r="U118" s="2"/>
      <c r="V118" s="2"/>
      <c r="W118" s="2"/>
      <c r="X118" s="2"/>
    </row>
    <row r="119" customFormat="false" ht="15" hidden="false" customHeight="false" outlineLevel="0" collapsed="false">
      <c r="A119" s="24" t="str">
        <f aca="false">'Taxa de occisão'!A119</f>
        <v>Lousada</v>
      </c>
      <c r="B119" s="24" t="n">
        <f aca="false">'Taxa de occisão'!B119</f>
        <v>1022</v>
      </c>
      <c r="C119" s="24" t="n">
        <f aca="false">'Taxa de occisão'!C119</f>
        <v>7</v>
      </c>
      <c r="D119" s="17" t="n">
        <f aca="false">C119/B119</f>
        <v>0.00684931506849315</v>
      </c>
      <c r="E119" s="5" t="n">
        <f aca="false">IF(B119&gt;=$Q$2,1,0)</f>
        <v>1</v>
      </c>
      <c r="F119" s="25" t="n">
        <f aca="false">IF(E119=1,(D119-$Q$4)/SQRT($Q$4*(1-$Q$4)/B119),"")</f>
        <v>-5.88997546803648</v>
      </c>
      <c r="G119" s="25" t="n">
        <f aca="false">IF(F119="","",MAX(MIN(F119,$Q$6),$Q$5))</f>
        <v>-3.58701204260275</v>
      </c>
      <c r="H119" s="25" t="n">
        <f aca="false">IF(F119="","",F119/SQRT($Q$7))</f>
        <v>-2.332881746737</v>
      </c>
      <c r="I119" s="5" t="n">
        <f aca="false">IF(E119=1,B119/($Q$4*(1-$Q$4)),"")</f>
        <v>23744.655809167</v>
      </c>
      <c r="J119" s="5" t="n">
        <f aca="false">IF(E119=1,I119*(D119-$Q$4)^2,"")</f>
        <v>34.6918110140715</v>
      </c>
      <c r="K119" s="5" t="n">
        <f aca="false">IF(E119=1,I119^2,"")</f>
        <v>563808679.495808</v>
      </c>
      <c r="L119" s="25" t="n">
        <f aca="false">IF(E119=1,(D119-$Q$4)/SQRT($Q$4*(1-$Q$4)/B119+$Q$11),"")</f>
        <v>-0.728355772564163</v>
      </c>
      <c r="M119" s="26" t="n">
        <f aca="false">IF(H119="","",NORMSDIST(-H119))</f>
        <v>0.990172823677238</v>
      </c>
      <c r="N119" s="5" t="str">
        <f aca="false">IF(H119="","",IF(H119&gt;$Q$14,"Sim","Não"))</f>
        <v>Não</v>
      </c>
      <c r="O119" s="2"/>
      <c r="P119" s="2"/>
      <c r="Q119" s="2"/>
      <c r="R119" s="2"/>
      <c r="S119" s="2"/>
      <c r="T119" s="2"/>
      <c r="U119" s="2"/>
      <c r="V119" s="2"/>
      <c r="W119" s="2"/>
      <c r="X119" s="2"/>
    </row>
    <row r="120" customFormat="false" ht="15" hidden="false" customHeight="false" outlineLevel="0" collapsed="false">
      <c r="A120" s="24" t="str">
        <f aca="false">'Taxa de occisão'!A120</f>
        <v>Almodôvar</v>
      </c>
      <c r="B120" s="24" t="n">
        <f aca="false">'Taxa de occisão'!B120</f>
        <v>147</v>
      </c>
      <c r="C120" s="24" t="n">
        <f aca="false">'Taxa de occisão'!C120</f>
        <v>1</v>
      </c>
      <c r="D120" s="17" t="n">
        <f aca="false">C120/B120</f>
        <v>0.00680272108843537</v>
      </c>
      <c r="E120" s="5" t="n">
        <f aca="false">IF(B120&gt;=$Q$2,1,0)</f>
        <v>1</v>
      </c>
      <c r="F120" s="25" t="n">
        <f aca="false">IF(E120=1,(D120-$Q$4)/SQRT($Q$4*(1-$Q$4)/B120),"")</f>
        <v>-2.23653543073501</v>
      </c>
      <c r="G120" s="25" t="n">
        <f aca="false">IF(F120="","",MAX(MIN(F120,$Q$6),$Q$5))</f>
        <v>-2.23653543073501</v>
      </c>
      <c r="H120" s="25" t="n">
        <f aca="false">IF(F120="","",F120/SQRT($Q$7))</f>
        <v>-0.885839459027772</v>
      </c>
      <c r="I120" s="5" t="n">
        <f aca="false">IF(E120=1,B120/($Q$4*(1-$Q$4)),"")</f>
        <v>3415.32720542813</v>
      </c>
      <c r="J120" s="5" t="n">
        <f aca="false">IF(E120=1,I120*(D120-$Q$4)^2,"")</f>
        <v>5.00209073293306</v>
      </c>
      <c r="K120" s="5" t="n">
        <f aca="false">IF(E120=1,I120^2,"")</f>
        <v>11664459.9201375</v>
      </c>
      <c r="L120" s="25" t="n">
        <f aca="false">IF(E120=1,(D120-$Q$4)/SQRT($Q$4*(1-$Q$4)/B120+$Q$11),"")</f>
        <v>-0.698161187659738</v>
      </c>
      <c r="M120" s="26" t="n">
        <f aca="false">IF(H120="","",NORMSDIST(-H120))</f>
        <v>0.81214797832901</v>
      </c>
      <c r="N120" s="5" t="str">
        <f aca="false">IF(H120="","",IF(H120&gt;$Q$14,"Sim","Não"))</f>
        <v>Não</v>
      </c>
      <c r="O120" s="2"/>
      <c r="P120" s="2"/>
      <c r="Q120" s="2"/>
      <c r="R120" s="2"/>
      <c r="S120" s="2"/>
      <c r="T120" s="2"/>
      <c r="U120" s="2"/>
      <c r="V120" s="2"/>
      <c r="W120" s="2"/>
      <c r="X120" s="2"/>
    </row>
    <row r="121" customFormat="false" ht="15" hidden="false" customHeight="false" outlineLevel="0" collapsed="false">
      <c r="A121" s="24" t="str">
        <f aca="false">'Taxa de occisão'!A121</f>
        <v>Cartaxo</v>
      </c>
      <c r="B121" s="24" t="n">
        <f aca="false">'Taxa de occisão'!B121</f>
        <v>155</v>
      </c>
      <c r="C121" s="24" t="n">
        <f aca="false">'Taxa de occisão'!C121</f>
        <v>1</v>
      </c>
      <c r="D121" s="17" t="n">
        <f aca="false">C121/B121</f>
        <v>0.00645161290322581</v>
      </c>
      <c r="E121" s="5" t="n">
        <f aca="false">IF(B121&gt;=$Q$2,1,0)</f>
        <v>1</v>
      </c>
      <c r="F121" s="25" t="n">
        <f aca="false">IF(E121=1,(D121-$Q$4)/SQRT($Q$4*(1-$Q$4)/B121),"")</f>
        <v>-2.31765731689964</v>
      </c>
      <c r="G121" s="25" t="n">
        <f aca="false">IF(F121="","",MAX(MIN(F121,$Q$6),$Q$5))</f>
        <v>-2.31765731689964</v>
      </c>
      <c r="H121" s="25" t="n">
        <f aca="false">IF(F121="","",F121/SQRT($Q$7))</f>
        <v>-0.917969943869572</v>
      </c>
      <c r="I121" s="5" t="n">
        <f aca="false">IF(E121=1,B121/($Q$4*(1-$Q$4)),"")</f>
        <v>3601.19535266231</v>
      </c>
      <c r="J121" s="5" t="n">
        <f aca="false">IF(E121=1,I121*(D121-$Q$4)^2,"")</f>
        <v>5.37153543857842</v>
      </c>
      <c r="K121" s="5" t="n">
        <f aca="false">IF(E121=1,I121^2,"")</f>
        <v>12968607.9680366</v>
      </c>
      <c r="L121" s="25" t="n">
        <f aca="false">IF(E121=1,(D121-$Q$4)/SQRT($Q$4*(1-$Q$4)/B121+$Q$11),"")</f>
        <v>-0.706344944247642</v>
      </c>
      <c r="M121" s="26" t="n">
        <f aca="false">IF(H121="","",NORMSDIST(-H121))</f>
        <v>0.820682699258945</v>
      </c>
      <c r="N121" s="5" t="str">
        <f aca="false">IF(H121="","",IF(H121&gt;$Q$14,"Sim","Não"))</f>
        <v>Não</v>
      </c>
      <c r="O121" s="2"/>
      <c r="P121" s="2"/>
      <c r="Q121" s="2"/>
      <c r="R121" s="2"/>
      <c r="S121" s="2"/>
      <c r="T121" s="2"/>
      <c r="U121" s="2"/>
      <c r="V121" s="2"/>
      <c r="W121" s="2"/>
      <c r="X121" s="2"/>
    </row>
    <row r="122" customFormat="false" ht="15" hidden="false" customHeight="false" outlineLevel="0" collapsed="false">
      <c r="A122" s="24" t="str">
        <f aca="false">'Taxa de occisão'!A122</f>
        <v>Sintra</v>
      </c>
      <c r="B122" s="24" t="n">
        <f aca="false">'Taxa de occisão'!B122</f>
        <v>832</v>
      </c>
      <c r="C122" s="24" t="n">
        <f aca="false">'Taxa de occisão'!C122</f>
        <v>5</v>
      </c>
      <c r="D122" s="17" t="n">
        <f aca="false">C122/B122</f>
        <v>0.00600961538461539</v>
      </c>
      <c r="E122" s="5" t="n">
        <f aca="false">IF(B122&gt;=$Q$2,1,0)</f>
        <v>1</v>
      </c>
      <c r="F122" s="25" t="n">
        <f aca="false">IF(E122=1,(D122-$Q$4)/SQRT($Q$4*(1-$Q$4)/B122),"")</f>
        <v>-5.43109077141875</v>
      </c>
      <c r="G122" s="25" t="n">
        <f aca="false">IF(F122="","",MAX(MIN(F122,$Q$6),$Q$5))</f>
        <v>-3.58701204260275</v>
      </c>
      <c r="H122" s="25" t="n">
        <f aca="false">IF(F122="","",F122/SQRT($Q$7))</f>
        <v>-2.15112823377146</v>
      </c>
      <c r="I122" s="5" t="n">
        <f aca="false">IF(E122=1,B122/($Q$4*(1-$Q$4)),"")</f>
        <v>19330.2873123551</v>
      </c>
      <c r="J122" s="5" t="n">
        <f aca="false">IF(E122=1,I122*(D122-$Q$4)^2,"")</f>
        <v>29.4967469673899</v>
      </c>
      <c r="K122" s="5" t="n">
        <f aca="false">IF(E122=1,I122^2,"")</f>
        <v>373660007.578198</v>
      </c>
      <c r="L122" s="25" t="n">
        <f aca="false">IF(E122=1,(D122-$Q$4)/SQRT($Q$4*(1-$Q$4)/B122+$Q$11),"")</f>
        <v>-0.743060099268237</v>
      </c>
      <c r="M122" s="26" t="n">
        <f aca="false">IF(H122="","",NORMSDIST(-H122))</f>
        <v>0.984266960216299</v>
      </c>
      <c r="N122" s="5" t="str">
        <f aca="false">IF(H122="","",IF(H122&gt;$Q$14,"Sim","Não"))</f>
        <v>Não</v>
      </c>
      <c r="O122" s="2"/>
      <c r="P122" s="2"/>
      <c r="Q122" s="2"/>
      <c r="R122" s="2"/>
      <c r="S122" s="2"/>
      <c r="T122" s="2"/>
      <c r="U122" s="2"/>
      <c r="V122" s="2"/>
      <c r="W122" s="2"/>
      <c r="X122" s="2"/>
    </row>
    <row r="123" customFormat="false" ht="15" hidden="false" customHeight="false" outlineLevel="0" collapsed="false">
      <c r="A123" s="24" t="str">
        <f aca="false">'Taxa de occisão'!A123</f>
        <v>Amarante</v>
      </c>
      <c r="B123" s="24" t="n">
        <f aca="false">'Taxa de occisão'!B123</f>
        <v>420</v>
      </c>
      <c r="C123" s="24" t="n">
        <f aca="false">'Taxa de occisão'!C123</f>
        <v>2</v>
      </c>
      <c r="D123" s="17" t="n">
        <f aca="false">C123/B123</f>
        <v>0.00476190476190476</v>
      </c>
      <c r="E123" s="5" t="n">
        <f aca="false">IF(B123&gt;=$Q$2,1,0)</f>
        <v>1</v>
      </c>
      <c r="F123" s="25" t="n">
        <f aca="false">IF(E123=1,(D123-$Q$4)/SQRT($Q$4*(1-$Q$4)/B123),"")</f>
        <v>-3.98203279475731</v>
      </c>
      <c r="G123" s="25" t="n">
        <f aca="false">IF(F123="","",MAX(MIN(F123,$Q$6),$Q$5))</f>
        <v>-3.58701204260275</v>
      </c>
      <c r="H123" s="25" t="n">
        <f aca="false">IF(F123="","",F123/SQRT($Q$7))</f>
        <v>-1.5771902060051</v>
      </c>
      <c r="I123" s="5" t="n">
        <f aca="false">IF(E123=1,B123/($Q$4*(1-$Q$4)),"")</f>
        <v>9758.07772979466</v>
      </c>
      <c r="J123" s="5" t="n">
        <f aca="false">IF(E123=1,I123*(D123-$Q$4)^2,"")</f>
        <v>15.8565851785227</v>
      </c>
      <c r="K123" s="5" t="n">
        <f aca="false">IF(E123=1,I123^2,"")</f>
        <v>95220080.9807144</v>
      </c>
      <c r="L123" s="25" t="n">
        <f aca="false">IF(E123=1,(D123-$Q$4)/SQRT($Q$4*(1-$Q$4)/B123+$Q$11),"")</f>
        <v>-0.759849570388869</v>
      </c>
      <c r="M123" s="26" t="n">
        <f aca="false">IF(H123="","",NORMSDIST(-H123))</f>
        <v>0.942624117061888</v>
      </c>
      <c r="N123" s="5" t="str">
        <f aca="false">IF(H123="","",IF(H123&gt;$Q$14,"Sim","Não"))</f>
        <v>Não</v>
      </c>
      <c r="O123" s="2"/>
      <c r="P123" s="2"/>
      <c r="Q123" s="2"/>
      <c r="R123" s="2"/>
      <c r="S123" s="2"/>
      <c r="T123" s="2"/>
      <c r="U123" s="2"/>
      <c r="V123" s="2"/>
      <c r="W123" s="2"/>
      <c r="X123" s="2"/>
    </row>
    <row r="124" customFormat="false" ht="15" hidden="false" customHeight="false" outlineLevel="0" collapsed="false">
      <c r="A124" s="24" t="str">
        <f aca="false">'Taxa de occisão'!A124</f>
        <v>Castelo Branco</v>
      </c>
      <c r="B124" s="24" t="n">
        <f aca="false">'Taxa de occisão'!B124</f>
        <v>1065</v>
      </c>
      <c r="C124" s="24" t="n">
        <f aca="false">'Taxa de occisão'!C124</f>
        <v>5</v>
      </c>
      <c r="D124" s="17" t="n">
        <f aca="false">C124/B124</f>
        <v>0.00469483568075117</v>
      </c>
      <c r="E124" s="5" t="n">
        <f aca="false">IF(B124&gt;=$Q$2,1,0)</f>
        <v>1</v>
      </c>
      <c r="F124" s="25" t="n">
        <f aca="false">IF(E124=1,(D124-$Q$4)/SQRT($Q$4*(1-$Q$4)/B124),"")</f>
        <v>-6.35150972508826</v>
      </c>
      <c r="G124" s="25" t="n">
        <f aca="false">IF(F124="","",MAX(MIN(F124,$Q$6),$Q$5))</f>
        <v>-3.58701204260275</v>
      </c>
      <c r="H124" s="25" t="n">
        <f aca="false">IF(F124="","",F124/SQRT($Q$7))</f>
        <v>-2.51568468872087</v>
      </c>
      <c r="I124" s="5" t="n">
        <f aca="false">IF(E124=1,B124/($Q$4*(1-$Q$4)),"")</f>
        <v>24743.6971005507</v>
      </c>
      <c r="J124" s="5" t="n">
        <f aca="false">IF(E124=1,I124*(D124-$Q$4)^2,"")</f>
        <v>40.3416757878907</v>
      </c>
      <c r="K124" s="5" t="n">
        <f aca="false">IF(E124=1,I124^2,"")</f>
        <v>612250546.203803</v>
      </c>
      <c r="L124" s="25" t="n">
        <f aca="false">IF(E124=1,(D124-$Q$4)/SQRT($Q$4*(1-$Q$4)/B124+$Q$11),"")</f>
        <v>-0.769647395346845</v>
      </c>
      <c r="M124" s="26" t="n">
        <f aca="false">IF(H124="","",NORMSDIST(-H124))</f>
        <v>0.994059929273182</v>
      </c>
      <c r="N124" s="5" t="str">
        <f aca="false">IF(H124="","",IF(H124&gt;$Q$14,"Sim","Não"))</f>
        <v>Não</v>
      </c>
      <c r="O124" s="2"/>
      <c r="P124" s="2"/>
      <c r="Q124" s="2"/>
      <c r="R124" s="2"/>
      <c r="S124" s="2"/>
      <c r="T124" s="2"/>
      <c r="U124" s="2"/>
      <c r="V124" s="2"/>
      <c r="W124" s="2"/>
      <c r="X124" s="2"/>
    </row>
    <row r="125" customFormat="false" ht="15" hidden="false" customHeight="false" outlineLevel="0" collapsed="false">
      <c r="A125" s="24" t="str">
        <f aca="false">'Taxa de occisão'!A125</f>
        <v>Évora</v>
      </c>
      <c r="B125" s="24" t="n">
        <f aca="false">'Taxa de occisão'!B125</f>
        <v>1128</v>
      </c>
      <c r="C125" s="24" t="n">
        <f aca="false">'Taxa de occisão'!C125</f>
        <v>5</v>
      </c>
      <c r="D125" s="17" t="n">
        <f aca="false">C125/B125</f>
        <v>0.00443262411347518</v>
      </c>
      <c r="E125" s="5" t="n">
        <f aca="false">IF(B125&gt;=$Q$2,1,0)</f>
        <v>1</v>
      </c>
      <c r="F125" s="25" t="n">
        <f aca="false">IF(E125=1,(D125-$Q$4)/SQRT($Q$4*(1-$Q$4)/B125),"")</f>
        <v>-6.57912095203688</v>
      </c>
      <c r="G125" s="25" t="n">
        <f aca="false">IF(F125="","",MAX(MIN(F125,$Q$6),$Q$5))</f>
        <v>-3.58701204260275</v>
      </c>
      <c r="H125" s="25" t="n">
        <f aca="false">IF(F125="","",F125/SQRT($Q$7))</f>
        <v>-2.60583618079115</v>
      </c>
      <c r="I125" s="5" t="n">
        <f aca="false">IF(E125=1,B125/($Q$4*(1-$Q$4)),"")</f>
        <v>26207.4087600199</v>
      </c>
      <c r="J125" s="5" t="n">
        <f aca="false">IF(E125=1,I125*(D125-$Q$4)^2,"")</f>
        <v>43.2848325015306</v>
      </c>
      <c r="K125" s="5" t="n">
        <f aca="false">IF(E125=1,I125^2,"")</f>
        <v>686828273.91477</v>
      </c>
      <c r="L125" s="25" t="n">
        <f aca="false">IF(E125=1,(D125-$Q$4)/SQRT($Q$4*(1-$Q$4)/B125+$Q$11),"")</f>
        <v>-0.774963261423272</v>
      </c>
      <c r="M125" s="26" t="n">
        <f aca="false">IF(H125="","",NORMSDIST(-H125))</f>
        <v>0.99541748578162</v>
      </c>
      <c r="N125" s="5" t="str">
        <f aca="false">IF(H125="","",IF(H125&gt;$Q$14,"Sim","Não"))</f>
        <v>Não</v>
      </c>
      <c r="O125" s="2"/>
      <c r="P125" s="2"/>
      <c r="Q125" s="2"/>
      <c r="R125" s="2"/>
      <c r="S125" s="2"/>
      <c r="T125" s="2"/>
      <c r="U125" s="2"/>
      <c r="V125" s="2"/>
      <c r="W125" s="2"/>
      <c r="X125" s="2"/>
    </row>
    <row r="126" customFormat="false" ht="15" hidden="false" customHeight="false" outlineLevel="0" collapsed="false">
      <c r="A126" s="24" t="str">
        <f aca="false">'Taxa de occisão'!A126</f>
        <v>Vizela</v>
      </c>
      <c r="B126" s="24" t="n">
        <f aca="false">'Taxa de occisão'!B126</f>
        <v>324</v>
      </c>
      <c r="C126" s="24" t="n">
        <f aca="false">'Taxa de occisão'!C126</f>
        <v>1</v>
      </c>
      <c r="D126" s="17" t="n">
        <f aca="false">C126/B126</f>
        <v>0.00308641975308642</v>
      </c>
      <c r="E126" s="5" t="n">
        <f aca="false">IF(B126&gt;=$Q$2,1,0)</f>
        <v>1</v>
      </c>
      <c r="F126" s="25" t="n">
        <f aca="false">IF(E126=1,(D126-$Q$4)/SQRT($Q$4*(1-$Q$4)/B126),"")</f>
        <v>-3.642828063648</v>
      </c>
      <c r="G126" s="25" t="n">
        <f aca="false">IF(F126="","",MAX(MIN(F126,$Q$6),$Q$5))</f>
        <v>-3.58701204260275</v>
      </c>
      <c r="H126" s="25" t="n">
        <f aca="false">IF(F126="","",F126/SQRT($Q$7))</f>
        <v>-1.44283913274409</v>
      </c>
      <c r="I126" s="5" t="n">
        <f aca="false">IF(E126=1,B126/($Q$4*(1-$Q$4)),"")</f>
        <v>7527.65996298445</v>
      </c>
      <c r="J126" s="5" t="n">
        <f aca="false">IF(E126=1,I126*(D126-$Q$4)^2,"")</f>
        <v>13.2701963013014</v>
      </c>
      <c r="K126" s="5" t="n">
        <f aca="false">IF(E126=1,I126^2,"")</f>
        <v>56665664.518319</v>
      </c>
      <c r="L126" s="25" t="n">
        <f aca="false">IF(E126=1,(D126-$Q$4)/SQRT($Q$4*(1-$Q$4)/B126+$Q$11),"")</f>
        <v>-0.787196945339861</v>
      </c>
      <c r="M126" s="26" t="n">
        <f aca="false">IF(H126="","",NORMSDIST(-H126))</f>
        <v>0.925467103675508</v>
      </c>
      <c r="N126" s="5" t="str">
        <f aca="false">IF(H126="","",IF(H126&gt;$Q$14,"Sim","Não"))</f>
        <v>Não</v>
      </c>
      <c r="O126" s="2"/>
      <c r="P126" s="2"/>
      <c r="Q126" s="2"/>
      <c r="R126" s="2"/>
      <c r="S126" s="2"/>
      <c r="T126" s="2"/>
      <c r="U126" s="2"/>
      <c r="V126" s="2"/>
      <c r="W126" s="2"/>
      <c r="X126" s="2"/>
    </row>
    <row r="127" customFormat="false" ht="15" hidden="false" customHeight="false" outlineLevel="0" collapsed="false">
      <c r="A127" s="24" t="str">
        <f aca="false">'Taxa de occisão'!A127</f>
        <v>Almeirim</v>
      </c>
      <c r="B127" s="24" t="n">
        <f aca="false">'Taxa de occisão'!B127</f>
        <v>52</v>
      </c>
      <c r="C127" s="24" t="n">
        <f aca="false">'Taxa de occisão'!C127</f>
        <v>0</v>
      </c>
      <c r="D127" s="17" t="n">
        <f aca="false">C127/B127</f>
        <v>0</v>
      </c>
      <c r="E127" s="5" t="n">
        <f aca="false">IF(B127&gt;=$Q$2,1,0)</f>
        <v>1</v>
      </c>
      <c r="F127" s="25" t="n">
        <f aca="false">IF(E127=1,(D127-$Q$4)/SQRT($Q$4*(1-$Q$4)/B127),"")</f>
        <v>-1.56665701314425</v>
      </c>
      <c r="G127" s="25" t="n">
        <f aca="false">IF(F127="","",MAX(MIN(F127,$Q$6),$Q$5))</f>
        <v>-1.56665701314425</v>
      </c>
      <c r="H127" s="25" t="n">
        <f aca="false">IF(F127="","",F127/SQRT($Q$7))</f>
        <v>-0.620516260075379</v>
      </c>
      <c r="I127" s="5" t="n">
        <f aca="false">IF(E127=1,B127/($Q$4*(1-$Q$4)),"")</f>
        <v>1208.1429570222</v>
      </c>
      <c r="J127" s="5" t="n">
        <f aca="false">IF(E127=1,I127*(D127-$Q$4)^2,"")</f>
        <v>2.45441419683406</v>
      </c>
      <c r="K127" s="5" t="n">
        <f aca="false">IF(E127=1,I127^2,"")</f>
        <v>1459609.40460233</v>
      </c>
      <c r="L127" s="25" t="n">
        <f aca="false">IF(E127=1,(D127-$Q$4)/SQRT($Q$4*(1-$Q$4)/B127+$Q$11),"")</f>
        <v>-0.757588992540513</v>
      </c>
      <c r="M127" s="26" t="n">
        <f aca="false">IF(H127="","",NORMSDIST(-H127))</f>
        <v>0.732541023864743</v>
      </c>
      <c r="N127" s="5" t="str">
        <f aca="false">IF(H127="","",IF(H127&gt;$Q$14,"Sim","Não"))</f>
        <v>Não</v>
      </c>
      <c r="O127" s="2"/>
      <c r="P127" s="2"/>
      <c r="Q127" s="2"/>
      <c r="R127" s="2"/>
      <c r="S127" s="2"/>
      <c r="T127" s="2"/>
      <c r="U127" s="2"/>
      <c r="V127" s="2"/>
      <c r="W127" s="2"/>
      <c r="X127" s="2"/>
    </row>
    <row r="128" customFormat="false" ht="15" hidden="false" customHeight="false" outlineLevel="0" collapsed="false">
      <c r="A128" s="24" t="str">
        <f aca="false">'Taxa de occisão'!A128</f>
        <v>Arganil</v>
      </c>
      <c r="B128" s="24" t="n">
        <f aca="false">'Taxa de occisão'!B128</f>
        <v>27</v>
      </c>
      <c r="C128" s="24" t="n">
        <f aca="false">'Taxa de occisão'!C128</f>
        <v>0</v>
      </c>
      <c r="D128" s="17" t="n">
        <f aca="false">C128/B128</f>
        <v>0</v>
      </c>
      <c r="E128" s="5" t="n">
        <f aca="false">IF(B128&gt;=$Q$2,1,0)</f>
        <v>1</v>
      </c>
      <c r="F128" s="25" t="n">
        <f aca="false">IF(E128=1,(D128-$Q$4)/SQRT($Q$4*(1-$Q$4)/B128),"")</f>
        <v>-1.12889652822261</v>
      </c>
      <c r="G128" s="25" t="n">
        <f aca="false">IF(F128="","",MAX(MIN(F128,$Q$6),$Q$5))</f>
        <v>-1.12889652822261</v>
      </c>
      <c r="H128" s="25" t="n">
        <f aca="false">IF(F128="","",F128/SQRT($Q$7))</f>
        <v>-0.447129554093585</v>
      </c>
      <c r="I128" s="5" t="n">
        <f aca="false">IF(E128=1,B128/($Q$4*(1-$Q$4)),"")</f>
        <v>627.304996915371</v>
      </c>
      <c r="J128" s="5" t="n">
        <f aca="false">IF(E128=1,I128*(D128-$Q$4)^2,"")</f>
        <v>1.27440737143307</v>
      </c>
      <c r="K128" s="5" t="n">
        <f aca="false">IF(E128=1,I128^2,"")</f>
        <v>393511.559154993</v>
      </c>
      <c r="L128" s="25" t="n">
        <f aca="false">IF(E128=1,(D128-$Q$4)/SQRT($Q$4*(1-$Q$4)/B128+$Q$11),"")</f>
        <v>-0.686869505036972</v>
      </c>
      <c r="M128" s="26" t="n">
        <f aca="false">IF(H128="","",NORMSDIST(-H128))</f>
        <v>0.672609239330005</v>
      </c>
      <c r="N128" s="5" t="str">
        <f aca="false">IF(H128="","",IF(H128&gt;$Q$14,"Sim","Não"))</f>
        <v>Não</v>
      </c>
      <c r="O128" s="2"/>
      <c r="P128" s="2"/>
      <c r="Q128" s="2"/>
      <c r="R128" s="2"/>
      <c r="S128" s="2"/>
      <c r="T128" s="2"/>
      <c r="U128" s="2"/>
      <c r="V128" s="2"/>
      <c r="W128" s="2"/>
      <c r="X128" s="2"/>
    </row>
    <row r="129" customFormat="false" ht="15" hidden="false" customHeight="false" outlineLevel="0" collapsed="false">
      <c r="A129" s="24" t="str">
        <f aca="false">'Taxa de occisão'!A129</f>
        <v>Arouca</v>
      </c>
      <c r="B129" s="24" t="n">
        <f aca="false">'Taxa de occisão'!B129</f>
        <v>164</v>
      </c>
      <c r="C129" s="24" t="n">
        <f aca="false">'Taxa de occisão'!C129</f>
        <v>0</v>
      </c>
      <c r="D129" s="17" t="n">
        <f aca="false">C129/B129</f>
        <v>0</v>
      </c>
      <c r="E129" s="5" t="n">
        <f aca="false">IF(B129&gt;=$Q$2,1,0)</f>
        <v>1</v>
      </c>
      <c r="F129" s="25" t="n">
        <f aca="false">IF(E129=1,(D129-$Q$4)/SQRT($Q$4*(1-$Q$4)/B129),"")</f>
        <v>-2.7822373684915</v>
      </c>
      <c r="G129" s="25" t="n">
        <f aca="false">IF(F129="","",MAX(MIN(F129,$Q$6),$Q$5))</f>
        <v>-2.7822373684915</v>
      </c>
      <c r="H129" s="25" t="n">
        <f aca="false">IF(F129="","",F129/SQRT($Q$7))</f>
        <v>-1.10197925394877</v>
      </c>
      <c r="I129" s="5" t="n">
        <f aca="false">IF(E129=1,B129/($Q$4*(1-$Q$4)),"")</f>
        <v>3810.29701830077</v>
      </c>
      <c r="J129" s="5" t="n">
        <f aca="false">IF(E129=1,I129*(D129-$Q$4)^2,"")</f>
        <v>7.74084477463051</v>
      </c>
      <c r="K129" s="5" t="n">
        <f aca="false">IF(E129=1,I129^2,"")</f>
        <v>14518363.3676717</v>
      </c>
      <c r="L129" s="25" t="n">
        <f aca="false">IF(E129=1,(D129-$Q$4)/SQRT($Q$4*(1-$Q$4)/B129+$Q$11),"")</f>
        <v>-0.826447750483118</v>
      </c>
      <c r="M129" s="26" t="n">
        <f aca="false">IF(H129="","",NORMSDIST(-H129))</f>
        <v>0.864764654511351</v>
      </c>
      <c r="N129" s="5" t="str">
        <f aca="false">IF(H129="","",IF(H129&gt;$Q$14,"Sim","Não"))</f>
        <v>Não</v>
      </c>
      <c r="O129" s="2"/>
      <c r="P129" s="2"/>
      <c r="Q129" s="2"/>
      <c r="R129" s="2"/>
      <c r="S129" s="2"/>
      <c r="T129" s="2"/>
      <c r="U129" s="2"/>
      <c r="V129" s="2"/>
      <c r="W129" s="2"/>
      <c r="X129" s="2"/>
    </row>
    <row r="130" customFormat="false" ht="15" hidden="false" customHeight="false" outlineLevel="0" collapsed="false">
      <c r="A130" s="24" t="str">
        <f aca="false">'Taxa de occisão'!A130</f>
        <v>Barrancos</v>
      </c>
      <c r="B130" s="24" t="n">
        <f aca="false">'Taxa de occisão'!B130</f>
        <v>7</v>
      </c>
      <c r="C130" s="24" t="n">
        <f aca="false">'Taxa de occisão'!C130</f>
        <v>0</v>
      </c>
      <c r="D130" s="17" t="n">
        <f aca="false">C130/B130</f>
        <v>0</v>
      </c>
      <c r="E130" s="5" t="n">
        <f aca="false">IF(B130&gt;=$Q$2,1,0)</f>
        <v>0</v>
      </c>
      <c r="F130" s="25" t="str">
        <f aca="false">IF(E130=1,(D130-$Q$4)/SQRT($Q$4*(1-$Q$4)/B130),"")</f>
        <v/>
      </c>
      <c r="G130" s="25" t="str">
        <f aca="false">IF(F130="","",MAX(MIN(F130,$Q$6),$Q$5))</f>
        <v/>
      </c>
      <c r="H130" s="25" t="str">
        <f aca="false">IF(F130="","",F130/SQRT($Q$7))</f>
        <v/>
      </c>
      <c r="I130" s="5" t="str">
        <f aca="false">IF(E130=1,B130/($Q$4*(1-$Q$4)),"")</f>
        <v/>
      </c>
      <c r="J130" s="5" t="str">
        <f aca="false">IF(E130=1,I130*(D130-$Q$4)^2,"")</f>
        <v/>
      </c>
      <c r="K130" s="5" t="str">
        <f aca="false">IF(E130=1,I130^2,"")</f>
        <v/>
      </c>
      <c r="L130" s="25" t="str">
        <f aca="false">IF(E130=1,(D130-$Q$4)/SQRT($Q$4*(1-$Q$4)/B130+$Q$11),"")</f>
        <v/>
      </c>
      <c r="M130" s="26" t="str">
        <f aca="false">IF(H130="","",NORMSDIST(-H130))</f>
        <v/>
      </c>
      <c r="N130" s="5" t="str">
        <f aca="false">IF(H130="","",IF(H130&gt;$Q$14,"Sim","Não"))</f>
        <v/>
      </c>
      <c r="O130" s="2"/>
      <c r="P130" s="2"/>
      <c r="Q130" s="2"/>
      <c r="R130" s="2"/>
      <c r="S130" s="2"/>
      <c r="T130" s="2"/>
      <c r="U130" s="2"/>
      <c r="V130" s="2"/>
      <c r="W130" s="2"/>
      <c r="X130" s="2"/>
    </row>
    <row r="131" customFormat="false" ht="15" hidden="false" customHeight="false" outlineLevel="0" collapsed="false">
      <c r="A131" s="24" t="str">
        <f aca="false">'Taxa de occisão'!A131</f>
        <v>Benavente</v>
      </c>
      <c r="B131" s="24" t="n">
        <f aca="false">'Taxa de occisão'!B131</f>
        <v>24</v>
      </c>
      <c r="C131" s="24" t="n">
        <f aca="false">'Taxa de occisão'!C131</f>
        <v>0</v>
      </c>
      <c r="D131" s="17" t="n">
        <f aca="false">C131/B131</f>
        <v>0</v>
      </c>
      <c r="E131" s="5" t="n">
        <f aca="false">IF(B131&gt;=$Q$2,1,0)</f>
        <v>1</v>
      </c>
      <c r="F131" s="25" t="n">
        <f aca="false">IF(E131=1,(D131-$Q$4)/SQRT($Q$4*(1-$Q$4)/B131),"")</f>
        <v>-1.06433385381888</v>
      </c>
      <c r="G131" s="25" t="n">
        <f aca="false">IF(F131="","",MAX(MIN(F131,$Q$6),$Q$5))</f>
        <v>-1.06433385381888</v>
      </c>
      <c r="H131" s="25" t="n">
        <f aca="false">IF(F131="","",F131/SQRT($Q$7))</f>
        <v>-0.421557786357988</v>
      </c>
      <c r="I131" s="5" t="n">
        <f aca="false">IF(E131=1,B131/($Q$4*(1-$Q$4)),"")</f>
        <v>557.604441702552</v>
      </c>
      <c r="J131" s="5" t="n">
        <f aca="false">IF(E131=1,I131*(D131-$Q$4)^2,"")</f>
        <v>1.13280655238495</v>
      </c>
      <c r="K131" s="5" t="n">
        <f aca="false">IF(E131=1,I131^2,"")</f>
        <v>310922.713406414</v>
      </c>
      <c r="L131" s="25" t="n">
        <f aca="false">IF(E131=1,(D131-$Q$4)/SQRT($Q$4*(1-$Q$4)/B131+$Q$11),"")</f>
        <v>-0.671508056678017</v>
      </c>
      <c r="M131" s="26" t="n">
        <f aca="false">IF(H131="","",NORMSDIST(-H131))</f>
        <v>0.663326088030526</v>
      </c>
      <c r="N131" s="5" t="str">
        <f aca="false">IF(H131="","",IF(H131&gt;$Q$14,"Sim","Não"))</f>
        <v>Não</v>
      </c>
      <c r="O131" s="2"/>
      <c r="P131" s="2"/>
      <c r="Q131" s="2"/>
      <c r="R131" s="2"/>
      <c r="S131" s="2"/>
      <c r="T131" s="2"/>
      <c r="U131" s="2"/>
      <c r="V131" s="2"/>
      <c r="W131" s="2"/>
      <c r="X131" s="2"/>
    </row>
    <row r="132" customFormat="false" ht="15" hidden="false" customHeight="false" outlineLevel="0" collapsed="false">
      <c r="A132" s="24" t="str">
        <f aca="false">'Taxa de occisão'!A132</f>
        <v>Boticas</v>
      </c>
      <c r="B132" s="24" t="n">
        <f aca="false">'Taxa de occisão'!B132</f>
        <v>27</v>
      </c>
      <c r="C132" s="24" t="n">
        <f aca="false">'Taxa de occisão'!C132</f>
        <v>0</v>
      </c>
      <c r="D132" s="17" t="n">
        <f aca="false">C132/B132</f>
        <v>0</v>
      </c>
      <c r="E132" s="5" t="n">
        <f aca="false">IF(B132&gt;=$Q$2,1,0)</f>
        <v>1</v>
      </c>
      <c r="F132" s="25" t="n">
        <f aca="false">IF(E132=1,(D132-$Q$4)/SQRT($Q$4*(1-$Q$4)/B132),"")</f>
        <v>-1.12889652822261</v>
      </c>
      <c r="G132" s="25" t="n">
        <f aca="false">IF(F132="","",MAX(MIN(F132,$Q$6),$Q$5))</f>
        <v>-1.12889652822261</v>
      </c>
      <c r="H132" s="25" t="n">
        <f aca="false">IF(F132="","",F132/SQRT($Q$7))</f>
        <v>-0.447129554093585</v>
      </c>
      <c r="I132" s="5" t="n">
        <f aca="false">IF(E132=1,B132/($Q$4*(1-$Q$4)),"")</f>
        <v>627.304996915371</v>
      </c>
      <c r="J132" s="5" t="n">
        <f aca="false">IF(E132=1,I132*(D132-$Q$4)^2,"")</f>
        <v>1.27440737143307</v>
      </c>
      <c r="K132" s="5" t="n">
        <f aca="false">IF(E132=1,I132^2,"")</f>
        <v>393511.559154993</v>
      </c>
      <c r="L132" s="25" t="n">
        <f aca="false">IF(E132=1,(D132-$Q$4)/SQRT($Q$4*(1-$Q$4)/B132+$Q$11),"")</f>
        <v>-0.686869505036972</v>
      </c>
      <c r="M132" s="26" t="n">
        <f aca="false">IF(H132="","",NORMSDIST(-H132))</f>
        <v>0.672609239330005</v>
      </c>
      <c r="N132" s="5" t="str">
        <f aca="false">IF(H132="","",IF(H132&gt;$Q$14,"Sim","Não"))</f>
        <v>Não</v>
      </c>
      <c r="O132" s="2"/>
      <c r="P132" s="2"/>
      <c r="Q132" s="2"/>
      <c r="R132" s="2"/>
      <c r="S132" s="2"/>
      <c r="T132" s="2"/>
      <c r="U132" s="2"/>
      <c r="V132" s="2"/>
      <c r="W132" s="2"/>
      <c r="X132" s="2"/>
    </row>
    <row r="133" customFormat="false" ht="15" hidden="false" customHeight="false" outlineLevel="0" collapsed="false">
      <c r="A133" s="24" t="str">
        <f aca="false">'Taxa de occisão'!A133</f>
        <v>Bragança</v>
      </c>
      <c r="B133" s="24" t="n">
        <f aca="false">'Taxa de occisão'!B133</f>
        <v>15</v>
      </c>
      <c r="C133" s="24" t="n">
        <f aca="false">'Taxa de occisão'!C133</f>
        <v>0</v>
      </c>
      <c r="D133" s="17" t="n">
        <f aca="false">C133/B133</f>
        <v>0</v>
      </c>
      <c r="E133" s="5" t="n">
        <f aca="false">IF(B133&gt;=$Q$2,1,0)</f>
        <v>0</v>
      </c>
      <c r="F133" s="25" t="str">
        <f aca="false">IF(E133=1,(D133-$Q$4)/SQRT($Q$4*(1-$Q$4)/B133),"")</f>
        <v/>
      </c>
      <c r="G133" s="25" t="str">
        <f aca="false">IF(F133="","",MAX(MIN(F133,$Q$6),$Q$5))</f>
        <v/>
      </c>
      <c r="H133" s="25" t="str">
        <f aca="false">IF(F133="","",F133/SQRT($Q$7))</f>
        <v/>
      </c>
      <c r="I133" s="5" t="str">
        <f aca="false">IF(E133=1,B133/($Q$4*(1-$Q$4)),"")</f>
        <v/>
      </c>
      <c r="J133" s="5" t="str">
        <f aca="false">IF(E133=1,I133*(D133-$Q$4)^2,"")</f>
        <v/>
      </c>
      <c r="K133" s="5" t="str">
        <f aca="false">IF(E133=1,I133^2,"")</f>
        <v/>
      </c>
      <c r="L133" s="25" t="str">
        <f aca="false">IF(E133=1,(D133-$Q$4)/SQRT($Q$4*(1-$Q$4)/B133+$Q$11),"")</f>
        <v/>
      </c>
      <c r="M133" s="26" t="str">
        <f aca="false">IF(H133="","",NORMSDIST(-H133))</f>
        <v/>
      </c>
      <c r="N133" s="5" t="str">
        <f aca="false">IF(H133="","",IF(H133&gt;$Q$14,"Sim","Não"))</f>
        <v/>
      </c>
      <c r="O133" s="2"/>
      <c r="P133" s="2"/>
      <c r="Q133" s="2"/>
      <c r="R133" s="2"/>
      <c r="S133" s="2"/>
      <c r="T133" s="2"/>
      <c r="U133" s="2"/>
      <c r="V133" s="2"/>
      <c r="W133" s="2"/>
      <c r="X133" s="2"/>
    </row>
    <row r="134" customFormat="false" ht="15" hidden="false" customHeight="false" outlineLevel="0" collapsed="false">
      <c r="A134" s="24" t="str">
        <f aca="false">'Taxa de occisão'!A134</f>
        <v>Castelo de Paiva</v>
      </c>
      <c r="B134" s="24" t="n">
        <f aca="false">'Taxa de occisão'!B134</f>
        <v>29</v>
      </c>
      <c r="C134" s="24" t="n">
        <f aca="false">'Taxa de occisão'!C134</f>
        <v>0</v>
      </c>
      <c r="D134" s="17" t="n">
        <f aca="false">C134/B134</f>
        <v>0</v>
      </c>
      <c r="E134" s="5" t="n">
        <f aca="false">IF(B134&gt;=$Q$2,1,0)</f>
        <v>1</v>
      </c>
      <c r="F134" s="25" t="n">
        <f aca="false">IF(E134=1,(D134-$Q$4)/SQRT($Q$4*(1-$Q$4)/B134),"")</f>
        <v>-1.16996064782759</v>
      </c>
      <c r="G134" s="25" t="n">
        <f aca="false">IF(F134="","",MAX(MIN(F134,$Q$6),$Q$5))</f>
        <v>-1.16996064782759</v>
      </c>
      <c r="H134" s="25" t="n">
        <f aca="false">IF(F134="","",F134/SQRT($Q$7))</f>
        <v>-0.463394092985494</v>
      </c>
      <c r="I134" s="5" t="n">
        <f aca="false">IF(E134=1,B134/($Q$4*(1-$Q$4)),"")</f>
        <v>673.772033723917</v>
      </c>
      <c r="J134" s="5" t="n">
        <f aca="false">IF(E134=1,I134*(D134-$Q$4)^2,"")</f>
        <v>1.36880791746515</v>
      </c>
      <c r="K134" s="5" t="n">
        <f aca="false">IF(E134=1,I134^2,"")</f>
        <v>453968.753428463</v>
      </c>
      <c r="L134" s="25" t="n">
        <f aca="false">IF(E134=1,(D134-$Q$4)/SQRT($Q$4*(1-$Q$4)/B134+$Q$11),"")</f>
        <v>-0.695809379506424</v>
      </c>
      <c r="M134" s="26" t="n">
        <f aca="false">IF(H134="","",NORMSDIST(-H134))</f>
        <v>0.678459044022945</v>
      </c>
      <c r="N134" s="5" t="str">
        <f aca="false">IF(H134="","",IF(H134&gt;$Q$14,"Sim","Não"))</f>
        <v>Não</v>
      </c>
      <c r="O134" s="2"/>
      <c r="P134" s="2"/>
      <c r="Q134" s="2"/>
      <c r="R134" s="2"/>
      <c r="S134" s="2"/>
      <c r="T134" s="2"/>
      <c r="U134" s="2"/>
      <c r="V134" s="2"/>
      <c r="W134" s="2"/>
      <c r="X134" s="2"/>
    </row>
    <row r="135" customFormat="false" ht="15" hidden="false" customHeight="false" outlineLevel="0" collapsed="false">
      <c r="A135" s="24" t="str">
        <f aca="false">'Taxa de occisão'!A135</f>
        <v>Castro Marim</v>
      </c>
      <c r="B135" s="24" t="n">
        <f aca="false">'Taxa de occisão'!B135</f>
        <v>302</v>
      </c>
      <c r="C135" s="24" t="n">
        <f aca="false">'Taxa de occisão'!C135</f>
        <v>0</v>
      </c>
      <c r="D135" s="17" t="n">
        <f aca="false">C135/B135</f>
        <v>0</v>
      </c>
      <c r="E135" s="5" t="n">
        <f aca="false">IF(B135&gt;=$Q$2,1,0)</f>
        <v>1</v>
      </c>
      <c r="F135" s="25" t="n">
        <f aca="false">IF(E135=1,(D135-$Q$4)/SQRT($Q$4*(1-$Q$4)/B135),"")</f>
        <v>-3.77551088607145</v>
      </c>
      <c r="G135" s="25" t="n">
        <f aca="false">IF(F135="","",MAX(MIN(F135,$Q$6),$Q$5))</f>
        <v>-3.58701204260275</v>
      </c>
      <c r="H135" s="25" t="n">
        <f aca="false">IF(F135="","",F135/SQRT($Q$7))</f>
        <v>-1.4953917004444</v>
      </c>
      <c r="I135" s="5" t="n">
        <f aca="false">IF(E135=1,B135/($Q$4*(1-$Q$4)),"")</f>
        <v>7016.52255809044</v>
      </c>
      <c r="J135" s="5" t="n">
        <f aca="false">IF(E135=1,I135*(D135-$Q$4)^2,"")</f>
        <v>14.254482450844</v>
      </c>
      <c r="K135" s="5" t="n">
        <f aca="false">IF(E135=1,I135^2,"")</f>
        <v>49231588.8081921</v>
      </c>
      <c r="L135" s="25" t="n">
        <f aca="false">IF(E135=1,(D135-$Q$4)/SQRT($Q$4*(1-$Q$4)/B135+$Q$11),"")</f>
        <v>-0.843630077819637</v>
      </c>
      <c r="M135" s="26" t="n">
        <f aca="false">IF(H135="","",NORMSDIST(-H135))</f>
        <v>0.932593877346691</v>
      </c>
      <c r="N135" s="5" t="str">
        <f aca="false">IF(H135="","",IF(H135&gt;$Q$14,"Sim","Não"))</f>
        <v>Não</v>
      </c>
      <c r="O135" s="2"/>
      <c r="P135" s="2"/>
      <c r="Q135" s="2"/>
      <c r="R135" s="2"/>
      <c r="S135" s="2"/>
      <c r="T135" s="2"/>
      <c r="U135" s="2"/>
      <c r="V135" s="2"/>
      <c r="W135" s="2"/>
      <c r="X135" s="2"/>
    </row>
    <row r="136" customFormat="false" ht="15" hidden="false" customHeight="false" outlineLevel="0" collapsed="false">
      <c r="A136" s="24" t="str">
        <f aca="false">'Taxa de occisão'!A136</f>
        <v>Castro Verde</v>
      </c>
      <c r="B136" s="24" t="n">
        <f aca="false">'Taxa de occisão'!B136</f>
        <v>115</v>
      </c>
      <c r="C136" s="24" t="n">
        <f aca="false">'Taxa de occisão'!C136</f>
        <v>0</v>
      </c>
      <c r="D136" s="17" t="n">
        <f aca="false">C136/B136</f>
        <v>0</v>
      </c>
      <c r="E136" s="5" t="n">
        <f aca="false">IF(B136&gt;=$Q$2,1,0)</f>
        <v>1</v>
      </c>
      <c r="F136" s="25" t="n">
        <f aca="false">IF(E136=1,(D136-$Q$4)/SQRT($Q$4*(1-$Q$4)/B136),"")</f>
        <v>-2.32981359701684</v>
      </c>
      <c r="G136" s="25" t="n">
        <f aca="false">IF(F136="","",MAX(MIN(F136,$Q$6),$Q$5))</f>
        <v>-2.32981359701684</v>
      </c>
      <c r="H136" s="25" t="n">
        <f aca="false">IF(F136="","",F136/SQRT($Q$7))</f>
        <v>-0.922784762564074</v>
      </c>
      <c r="I136" s="5" t="n">
        <f aca="false">IF(E136=1,B136/($Q$4*(1-$Q$4)),"")</f>
        <v>2671.85461649139</v>
      </c>
      <c r="J136" s="5" t="n">
        <f aca="false">IF(E136=1,I136*(D136-$Q$4)^2,"")</f>
        <v>5.42803139684457</v>
      </c>
      <c r="K136" s="5" t="n">
        <f aca="false">IF(E136=1,I136^2,"")</f>
        <v>7138807.09166638</v>
      </c>
      <c r="L136" s="25" t="n">
        <f aca="false">IF(E136=1,(D136-$Q$4)/SQRT($Q$4*(1-$Q$4)/B136+$Q$11),"")</f>
        <v>-0.81133698676287</v>
      </c>
      <c r="M136" s="26" t="n">
        <f aca="false">IF(H136="","",NORMSDIST(-H136))</f>
        <v>0.821940308477791</v>
      </c>
      <c r="N136" s="5" t="str">
        <f aca="false">IF(H136="","",IF(H136&gt;$Q$14,"Sim","Não"))</f>
        <v>Não</v>
      </c>
      <c r="O136" s="2"/>
      <c r="P136" s="2"/>
      <c r="Q136" s="2"/>
      <c r="R136" s="2"/>
      <c r="S136" s="2"/>
      <c r="T136" s="2"/>
      <c r="U136" s="2"/>
      <c r="V136" s="2"/>
      <c r="W136" s="2"/>
      <c r="X136" s="2"/>
    </row>
    <row r="137" customFormat="false" ht="15" hidden="false" customHeight="false" outlineLevel="0" collapsed="false">
      <c r="A137" s="24" t="str">
        <f aca="false">'Taxa de occisão'!A137</f>
        <v>Constância</v>
      </c>
      <c r="B137" s="24" t="n">
        <f aca="false">'Taxa de occisão'!B137</f>
        <v>19</v>
      </c>
      <c r="C137" s="24" t="n">
        <f aca="false">'Taxa de occisão'!C137</f>
        <v>0</v>
      </c>
      <c r="D137" s="17" t="n">
        <f aca="false">C137/B137</f>
        <v>0</v>
      </c>
      <c r="E137" s="5" t="n">
        <f aca="false">IF(B137&gt;=$Q$2,1,0)</f>
        <v>0</v>
      </c>
      <c r="F137" s="25" t="str">
        <f aca="false">IF(E137=1,(D137-$Q$4)/SQRT($Q$4*(1-$Q$4)/B137),"")</f>
        <v/>
      </c>
      <c r="G137" s="25" t="str">
        <f aca="false">IF(F137="","",MAX(MIN(F137,$Q$6),$Q$5))</f>
        <v/>
      </c>
      <c r="H137" s="25" t="str">
        <f aca="false">IF(F137="","",F137/SQRT($Q$7))</f>
        <v/>
      </c>
      <c r="I137" s="5" t="str">
        <f aca="false">IF(E137=1,B137/($Q$4*(1-$Q$4)),"")</f>
        <v/>
      </c>
      <c r="J137" s="5" t="str">
        <f aca="false">IF(E137=1,I137*(D137-$Q$4)^2,"")</f>
        <v/>
      </c>
      <c r="K137" s="5" t="str">
        <f aca="false">IF(E137=1,I137^2,"")</f>
        <v/>
      </c>
      <c r="L137" s="25" t="str">
        <f aca="false">IF(E137=1,(D137-$Q$4)/SQRT($Q$4*(1-$Q$4)/B137+$Q$11),"")</f>
        <v/>
      </c>
      <c r="M137" s="26" t="str">
        <f aca="false">IF(H137="","",NORMSDIST(-H137))</f>
        <v/>
      </c>
      <c r="N137" s="5" t="str">
        <f aca="false">IF(H137="","",IF(H137&gt;$Q$14,"Sim","Não"))</f>
        <v/>
      </c>
      <c r="O137" s="2"/>
      <c r="P137" s="2"/>
      <c r="Q137" s="2"/>
      <c r="R137" s="2"/>
      <c r="S137" s="2"/>
      <c r="T137" s="2"/>
      <c r="U137" s="2"/>
      <c r="V137" s="2"/>
      <c r="W137" s="2"/>
      <c r="X137" s="2"/>
    </row>
    <row r="138" customFormat="false" ht="15" hidden="false" customHeight="false" outlineLevel="0" collapsed="false">
      <c r="A138" s="24" t="str">
        <f aca="false">'Taxa de occisão'!A138</f>
        <v>Crato</v>
      </c>
      <c r="B138" s="24" t="n">
        <f aca="false">'Taxa de occisão'!B138</f>
        <v>16</v>
      </c>
      <c r="C138" s="24" t="n">
        <f aca="false">'Taxa de occisão'!C138</f>
        <v>0</v>
      </c>
      <c r="D138" s="17" t="n">
        <f aca="false">C138/B138</f>
        <v>0</v>
      </c>
      <c r="E138" s="5" t="n">
        <f aca="false">IF(B138&gt;=$Q$2,1,0)</f>
        <v>0</v>
      </c>
      <c r="F138" s="25" t="str">
        <f aca="false">IF(E138=1,(D138-$Q$4)/SQRT($Q$4*(1-$Q$4)/B138),"")</f>
        <v/>
      </c>
      <c r="G138" s="25" t="str">
        <f aca="false">IF(F138="","",MAX(MIN(F138,$Q$6),$Q$5))</f>
        <v/>
      </c>
      <c r="H138" s="25" t="str">
        <f aca="false">IF(F138="","",F138/SQRT($Q$7))</f>
        <v/>
      </c>
      <c r="I138" s="5" t="str">
        <f aca="false">IF(E138=1,B138/($Q$4*(1-$Q$4)),"")</f>
        <v/>
      </c>
      <c r="J138" s="5" t="str">
        <f aca="false">IF(E138=1,I138*(D138-$Q$4)^2,"")</f>
        <v/>
      </c>
      <c r="K138" s="5" t="str">
        <f aca="false">IF(E138=1,I138^2,"")</f>
        <v/>
      </c>
      <c r="L138" s="25" t="str">
        <f aca="false">IF(E138=1,(D138-$Q$4)/SQRT($Q$4*(1-$Q$4)/B138+$Q$11),"")</f>
        <v/>
      </c>
      <c r="M138" s="26" t="str">
        <f aca="false">IF(H138="","",NORMSDIST(-H138))</f>
        <v/>
      </c>
      <c r="N138" s="5" t="str">
        <f aca="false">IF(H138="","",IF(H138&gt;$Q$14,"Sim","Não"))</f>
        <v/>
      </c>
      <c r="O138" s="2"/>
      <c r="P138" s="2"/>
      <c r="Q138" s="2"/>
      <c r="R138" s="2"/>
      <c r="S138" s="2"/>
      <c r="T138" s="2"/>
      <c r="U138" s="2"/>
      <c r="V138" s="2"/>
      <c r="W138" s="2"/>
      <c r="X138" s="2"/>
    </row>
    <row r="139" customFormat="false" ht="15" hidden="false" customHeight="false" outlineLevel="0" collapsed="false">
      <c r="A139" s="24" t="str">
        <f aca="false">'Taxa de occisão'!A139</f>
        <v>Entroncame nto</v>
      </c>
      <c r="B139" s="24" t="n">
        <f aca="false">'Taxa de occisão'!B139</f>
        <v>34</v>
      </c>
      <c r="C139" s="24" t="n">
        <f aca="false">'Taxa de occisão'!C139</f>
        <v>0</v>
      </c>
      <c r="D139" s="17" t="n">
        <f aca="false">C139/B139</f>
        <v>0</v>
      </c>
      <c r="E139" s="5" t="n">
        <f aca="false">IF(B139&gt;=$Q$2,1,0)</f>
        <v>1</v>
      </c>
      <c r="F139" s="25" t="n">
        <f aca="false">IF(E139=1,(D139-$Q$4)/SQRT($Q$4*(1-$Q$4)/B139),"")</f>
        <v>-1.26681067352046</v>
      </c>
      <c r="G139" s="25" t="n">
        <f aca="false">IF(F139="","",MAX(MIN(F139,$Q$6),$Q$5))</f>
        <v>-1.26681067352046</v>
      </c>
      <c r="H139" s="25" t="n">
        <f aca="false">IF(F139="","",F139/SQRT($Q$7))</f>
        <v>-0.501754126628421</v>
      </c>
      <c r="I139" s="5" t="n">
        <f aca="false">IF(E139=1,B139/($Q$4*(1-$Q$4)),"")</f>
        <v>789.939625745282</v>
      </c>
      <c r="J139" s="5" t="n">
        <f aca="false">IF(E139=1,I139*(D139-$Q$4)^2,"")</f>
        <v>1.60480928254535</v>
      </c>
      <c r="K139" s="5" t="n">
        <f aca="false">IF(E139=1,I139^2,"")</f>
        <v>624004.612322596</v>
      </c>
      <c r="L139" s="25" t="n">
        <f aca="false">IF(E139=1,(D139-$Q$4)/SQRT($Q$4*(1-$Q$4)/B139+$Q$11),"")</f>
        <v>-0.714643685351014</v>
      </c>
      <c r="M139" s="26" t="n">
        <f aca="false">IF(H139="","",NORMSDIST(-H139))</f>
        <v>0.692079757378545</v>
      </c>
      <c r="N139" s="5" t="str">
        <f aca="false">IF(H139="","",IF(H139&gt;$Q$14,"Sim","Não"))</f>
        <v>Não</v>
      </c>
      <c r="O139" s="2"/>
      <c r="P139" s="2"/>
      <c r="Q139" s="2"/>
      <c r="R139" s="2"/>
      <c r="S139" s="2"/>
      <c r="T139" s="2"/>
      <c r="U139" s="2"/>
      <c r="V139" s="2"/>
      <c r="W139" s="2"/>
      <c r="X139" s="2"/>
    </row>
    <row r="140" customFormat="false" ht="15" hidden="false" customHeight="false" outlineLevel="0" collapsed="false">
      <c r="A140" s="24" t="str">
        <f aca="false">'Taxa de occisão'!A140</f>
        <v>Felgueiras</v>
      </c>
      <c r="B140" s="24" t="n">
        <f aca="false">'Taxa de occisão'!B140</f>
        <v>1051</v>
      </c>
      <c r="C140" s="24" t="n">
        <f aca="false">'Taxa de occisão'!C140</f>
        <v>0</v>
      </c>
      <c r="D140" s="17" t="n">
        <f aca="false">C140/B140</f>
        <v>0</v>
      </c>
      <c r="E140" s="5" t="n">
        <f aca="false">IF(B140&gt;=$Q$2,1,0)</f>
        <v>1</v>
      </c>
      <c r="F140" s="25" t="n">
        <f aca="false">IF(E140=1,(D140-$Q$4)/SQRT($Q$4*(1-$Q$4)/B140),"")</f>
        <v>-7.04325826161853</v>
      </c>
      <c r="G140" s="25" t="n">
        <f aca="false">IF(F140="","",MAX(MIN(F140,$Q$6),$Q$5))</f>
        <v>-3.58701204260275</v>
      </c>
      <c r="H140" s="25" t="n">
        <f aca="false">IF(F140="","",F140/SQRT($Q$7))</f>
        <v>-2.78967013109853</v>
      </c>
      <c r="I140" s="5" t="n">
        <f aca="false">IF(E140=1,B140/($Q$4*(1-$Q$4)),"")</f>
        <v>24418.4278428909</v>
      </c>
      <c r="J140" s="5" t="n">
        <f aca="false">IF(E140=1,I140*(D140-$Q$4)^2,"")</f>
        <v>49.6074869398577</v>
      </c>
      <c r="K140" s="5" t="n">
        <f aca="false">IF(E140=1,I140^2,"")</f>
        <v>596259618.31847</v>
      </c>
      <c r="L140" s="25" t="n">
        <f aca="false">IF(E140=1,(D140-$Q$4)/SQRT($Q$4*(1-$Q$4)/B140+$Q$11),"")</f>
        <v>-0.859051948653979</v>
      </c>
      <c r="M140" s="26" t="n">
        <f aca="false">IF(H140="","",NORMSDIST(-H140))</f>
        <v>0.997361911616249</v>
      </c>
      <c r="N140" s="5" t="str">
        <f aca="false">IF(H140="","",IF(H140&gt;$Q$14,"Sim","Não"))</f>
        <v>Não</v>
      </c>
      <c r="O140" s="2"/>
      <c r="P140" s="2"/>
      <c r="Q140" s="2"/>
      <c r="R140" s="2"/>
      <c r="S140" s="2"/>
      <c r="T140" s="2"/>
      <c r="U140" s="2"/>
      <c r="V140" s="2"/>
      <c r="W140" s="2"/>
      <c r="X140" s="2"/>
    </row>
    <row r="141" customFormat="false" ht="15" hidden="false" customHeight="false" outlineLevel="0" collapsed="false">
      <c r="A141" s="24" t="str">
        <f aca="false">'Taxa de occisão'!A141</f>
        <v>Ferreira do Alentejo</v>
      </c>
      <c r="B141" s="24" t="n">
        <f aca="false">'Taxa de occisão'!B141</f>
        <v>17</v>
      </c>
      <c r="C141" s="24" t="n">
        <f aca="false">'Taxa de occisão'!C141</f>
        <v>0</v>
      </c>
      <c r="D141" s="17" t="n">
        <f aca="false">C141/B141</f>
        <v>0</v>
      </c>
      <c r="E141" s="5" t="n">
        <f aca="false">IF(B141&gt;=$Q$2,1,0)</f>
        <v>0</v>
      </c>
      <c r="F141" s="25" t="str">
        <f aca="false">IF(E141=1,(D141-$Q$4)/SQRT($Q$4*(1-$Q$4)/B141),"")</f>
        <v/>
      </c>
      <c r="G141" s="25" t="str">
        <f aca="false">IF(F141="","",MAX(MIN(F141,$Q$6),$Q$5))</f>
        <v/>
      </c>
      <c r="H141" s="25" t="str">
        <f aca="false">IF(F141="","",F141/SQRT($Q$7))</f>
        <v/>
      </c>
      <c r="I141" s="5" t="str">
        <f aca="false">IF(E141=1,B141/($Q$4*(1-$Q$4)),"")</f>
        <v/>
      </c>
      <c r="J141" s="5" t="str">
        <f aca="false">IF(E141=1,I141*(D141-$Q$4)^2,"")</f>
        <v/>
      </c>
      <c r="K141" s="5" t="str">
        <f aca="false">IF(E141=1,I141^2,"")</f>
        <v/>
      </c>
      <c r="L141" s="25" t="str">
        <f aca="false">IF(E141=1,(D141-$Q$4)/SQRT($Q$4*(1-$Q$4)/B141+$Q$11),"")</f>
        <v/>
      </c>
      <c r="M141" s="26" t="str">
        <f aca="false">IF(H141="","",NORMSDIST(-H141))</f>
        <v/>
      </c>
      <c r="N141" s="5" t="str">
        <f aca="false">IF(H141="","",IF(H141&gt;$Q$14,"Sim","Não"))</f>
        <v/>
      </c>
      <c r="O141" s="2"/>
      <c r="P141" s="2"/>
      <c r="Q141" s="2"/>
      <c r="R141" s="2"/>
      <c r="S141" s="2"/>
      <c r="T141" s="2"/>
      <c r="U141" s="2"/>
      <c r="V141" s="2"/>
      <c r="W141" s="2"/>
      <c r="X141" s="2"/>
    </row>
    <row r="142" customFormat="false" ht="15" hidden="false" customHeight="false" outlineLevel="0" collapsed="false">
      <c r="A142" s="24" t="str">
        <f aca="false">'Taxa de occisão'!A142</f>
        <v>Figueira de Castelo Rodrigo</v>
      </c>
      <c r="B142" s="24" t="n">
        <f aca="false">'Taxa de occisão'!B142</f>
        <v>91</v>
      </c>
      <c r="C142" s="24" t="n">
        <f aca="false">'Taxa de occisão'!C142</f>
        <v>0</v>
      </c>
      <c r="D142" s="17" t="n">
        <f aca="false">C142/B142</f>
        <v>0</v>
      </c>
      <c r="E142" s="5" t="n">
        <f aca="false">IF(B142&gt;=$Q$2,1,0)</f>
        <v>1</v>
      </c>
      <c r="F142" s="25" t="n">
        <f aca="false">IF(E142=1,(D142-$Q$4)/SQRT($Q$4*(1-$Q$4)/B142),"")</f>
        <v>-2.07249242325747</v>
      </c>
      <c r="G142" s="25" t="n">
        <f aca="false">IF(F142="","",MAX(MIN(F142,$Q$6),$Q$5))</f>
        <v>-2.07249242325747</v>
      </c>
      <c r="H142" s="25" t="n">
        <f aca="false">IF(F142="","",F142/SQRT($Q$7))</f>
        <v>-0.820865854315665</v>
      </c>
      <c r="I142" s="5" t="n">
        <f aca="false">IF(E142=1,B142/($Q$4*(1-$Q$4)),"")</f>
        <v>2114.25017478884</v>
      </c>
      <c r="J142" s="5" t="n">
        <f aca="false">IF(E142=1,I142*(D142-$Q$4)^2,"")</f>
        <v>4.29522484445961</v>
      </c>
      <c r="K142" s="5" t="n">
        <f aca="false">IF(E142=1,I142^2,"")</f>
        <v>4470053.80159465</v>
      </c>
      <c r="L142" s="25" t="n">
        <f aca="false">IF(E142=1,(D142-$Q$4)/SQRT($Q$4*(1-$Q$4)/B142+$Q$11),"")</f>
        <v>-0.798665335397517</v>
      </c>
      <c r="M142" s="26" t="n">
        <f aca="false">IF(H142="","",NORMSDIST(-H142))</f>
        <v>0.794138658751164</v>
      </c>
      <c r="N142" s="5" t="str">
        <f aca="false">IF(H142="","",IF(H142&gt;$Q$14,"Sim","Não"))</f>
        <v>Não</v>
      </c>
      <c r="O142" s="2"/>
      <c r="P142" s="2"/>
      <c r="Q142" s="2"/>
      <c r="R142" s="2"/>
      <c r="S142" s="2"/>
      <c r="T142" s="2"/>
      <c r="U142" s="2"/>
      <c r="V142" s="2"/>
      <c r="W142" s="2"/>
      <c r="X142" s="2"/>
    </row>
    <row r="143" customFormat="false" ht="15" hidden="false" customHeight="false" outlineLevel="0" collapsed="false">
      <c r="A143" s="24" t="str">
        <f aca="false">'Taxa de occisão'!A143</f>
        <v>Fronteira</v>
      </c>
      <c r="B143" s="24" t="n">
        <f aca="false">'Taxa de occisão'!B143</f>
        <v>4</v>
      </c>
      <c r="C143" s="24" t="n">
        <f aca="false">'Taxa de occisão'!C143</f>
        <v>0</v>
      </c>
      <c r="D143" s="17" t="n">
        <f aca="false">C143/B143</f>
        <v>0</v>
      </c>
      <c r="E143" s="5" t="n">
        <f aca="false">IF(B143&gt;=$Q$2,1,0)</f>
        <v>0</v>
      </c>
      <c r="F143" s="25" t="str">
        <f aca="false">IF(E143=1,(D143-$Q$4)/SQRT($Q$4*(1-$Q$4)/B143),"")</f>
        <v/>
      </c>
      <c r="G143" s="25" t="str">
        <f aca="false">IF(F143="","",MAX(MIN(F143,$Q$6),$Q$5))</f>
        <v/>
      </c>
      <c r="H143" s="25" t="str">
        <f aca="false">IF(F143="","",F143/SQRT($Q$7))</f>
        <v/>
      </c>
      <c r="I143" s="5" t="str">
        <f aca="false">IF(E143=1,B143/($Q$4*(1-$Q$4)),"")</f>
        <v/>
      </c>
      <c r="J143" s="5" t="str">
        <f aca="false">IF(E143=1,I143*(D143-$Q$4)^2,"")</f>
        <v/>
      </c>
      <c r="K143" s="5" t="str">
        <f aca="false">IF(E143=1,I143^2,"")</f>
        <v/>
      </c>
      <c r="L143" s="25" t="str">
        <f aca="false">IF(E143=1,(D143-$Q$4)/SQRT($Q$4*(1-$Q$4)/B143+$Q$11),"")</f>
        <v/>
      </c>
      <c r="M143" s="26" t="str">
        <f aca="false">IF(H143="","",NORMSDIST(-H143))</f>
        <v/>
      </c>
      <c r="N143" s="5" t="str">
        <f aca="false">IF(H143="","",IF(H143&gt;$Q$14,"Sim","Não"))</f>
        <v/>
      </c>
      <c r="O143" s="2"/>
      <c r="P143" s="2"/>
      <c r="Q143" s="2"/>
      <c r="R143" s="2"/>
      <c r="S143" s="2"/>
      <c r="T143" s="2"/>
      <c r="U143" s="2"/>
      <c r="V143" s="2"/>
      <c r="W143" s="2"/>
      <c r="X143" s="2"/>
    </row>
    <row r="144" customFormat="false" ht="15" hidden="false" customHeight="false" outlineLevel="0" collapsed="false">
      <c r="A144" s="24" t="str">
        <f aca="false">'Taxa de occisão'!A144</f>
        <v>Fundão</v>
      </c>
      <c r="B144" s="24" t="n">
        <f aca="false">'Taxa de occisão'!B144</f>
        <v>249</v>
      </c>
      <c r="C144" s="24" t="n">
        <f aca="false">'Taxa de occisão'!C144</f>
        <v>0</v>
      </c>
      <c r="D144" s="17" t="n">
        <f aca="false">C144/B144</f>
        <v>0</v>
      </c>
      <c r="E144" s="5" t="n">
        <f aca="false">IF(B144&gt;=$Q$2,1,0)</f>
        <v>1</v>
      </c>
      <c r="F144" s="25" t="n">
        <f aca="false">IF(E144=1,(D144-$Q$4)/SQRT($Q$4*(1-$Q$4)/B144),"")</f>
        <v>-3.42824561269958</v>
      </c>
      <c r="G144" s="25" t="n">
        <f aca="false">IF(F144="","",MAX(MIN(F144,$Q$6),$Q$5))</f>
        <v>-3.42824561269958</v>
      </c>
      <c r="H144" s="25" t="n">
        <f aca="false">IF(F144="","",F144/SQRT($Q$7))</f>
        <v>-1.357848034614</v>
      </c>
      <c r="I144" s="5" t="n">
        <f aca="false">IF(E144=1,B144/($Q$4*(1-$Q$4)),"")</f>
        <v>5785.14608266398</v>
      </c>
      <c r="J144" s="5" t="n">
        <f aca="false">IF(E144=1,I144*(D144-$Q$4)^2,"")</f>
        <v>11.7528679809939</v>
      </c>
      <c r="K144" s="5" t="n">
        <f aca="false">IF(E144=1,I144^2,"")</f>
        <v>33467915.1977623</v>
      </c>
      <c r="L144" s="25" t="n">
        <f aca="false">IF(E144=1,(D144-$Q$4)/SQRT($Q$4*(1-$Q$4)/B144+$Q$11),"")</f>
        <v>-0.83918267564976</v>
      </c>
      <c r="M144" s="26" t="n">
        <f aca="false">IF(H144="","",NORMSDIST(-H144))</f>
        <v>0.912744045300093</v>
      </c>
      <c r="N144" s="5" t="str">
        <f aca="false">IF(H144="","",IF(H144&gt;$Q$14,"Sim","Não"))</f>
        <v>Não</v>
      </c>
      <c r="O144" s="2"/>
      <c r="P144" s="2"/>
      <c r="Q144" s="2"/>
      <c r="R144" s="2"/>
      <c r="S144" s="2"/>
      <c r="T144" s="2"/>
      <c r="U144" s="2"/>
      <c r="V144" s="2"/>
      <c r="W144" s="2"/>
      <c r="X144" s="2"/>
    </row>
    <row r="145" customFormat="false" ht="15" hidden="false" customHeight="false" outlineLevel="0" collapsed="false">
      <c r="A145" s="24" t="str">
        <f aca="false">'Taxa de occisão'!A145</f>
        <v>Loulé</v>
      </c>
      <c r="B145" s="24" t="n">
        <f aca="false">'Taxa de occisão'!B145</f>
        <v>90</v>
      </c>
      <c r="C145" s="24" t="n">
        <f aca="false">'Taxa de occisão'!C145</f>
        <v>0</v>
      </c>
      <c r="D145" s="17" t="n">
        <f aca="false">C145/B145</f>
        <v>0</v>
      </c>
      <c r="E145" s="5" t="n">
        <f aca="false">IF(B145&gt;=$Q$2,1,0)</f>
        <v>1</v>
      </c>
      <c r="F145" s="25" t="n">
        <f aca="false">IF(E145=1,(D145-$Q$4)/SQRT($Q$4*(1-$Q$4)/B145),"")</f>
        <v>-2.06107364532264</v>
      </c>
      <c r="G145" s="25" t="n">
        <f aca="false">IF(F145="","",MAX(MIN(F145,$Q$6),$Q$5))</f>
        <v>-2.06107364532264</v>
      </c>
      <c r="H145" s="25" t="n">
        <f aca="false">IF(F145="","",F145/SQRT($Q$7))</f>
        <v>-0.816343143014276</v>
      </c>
      <c r="I145" s="5" t="n">
        <f aca="false">IF(E145=1,B145/($Q$4*(1-$Q$4)),"")</f>
        <v>2091.01665638457</v>
      </c>
      <c r="J145" s="5" t="n">
        <f aca="false">IF(E145=1,I145*(D145-$Q$4)^2,"")</f>
        <v>4.24802457144357</v>
      </c>
      <c r="K145" s="5" t="n">
        <f aca="false">IF(E145=1,I145^2,"")</f>
        <v>4372350.6572777</v>
      </c>
      <c r="L145" s="25" t="n">
        <f aca="false">IF(E145=1,(D145-$Q$4)/SQRT($Q$4*(1-$Q$4)/B145+$Q$11),"")</f>
        <v>-0.798007224560469</v>
      </c>
      <c r="M145" s="26" t="n">
        <f aca="false">IF(H145="","",NORMSDIST(-H145))</f>
        <v>0.792848047192565</v>
      </c>
      <c r="N145" s="5" t="str">
        <f aca="false">IF(H145="","",IF(H145&gt;$Q$14,"Sim","Não"))</f>
        <v>Não</v>
      </c>
      <c r="O145" s="2"/>
      <c r="P145" s="2"/>
      <c r="Q145" s="2"/>
      <c r="R145" s="2"/>
      <c r="S145" s="2"/>
      <c r="T145" s="2"/>
      <c r="U145" s="2"/>
      <c r="V145" s="2"/>
      <c r="W145" s="2"/>
      <c r="X145" s="2"/>
    </row>
    <row r="146" customFormat="false" ht="15" hidden="false" customHeight="false" outlineLevel="0" collapsed="false">
      <c r="A146" s="24" t="str">
        <f aca="false">'Taxa de occisão'!A146</f>
        <v>Lousã</v>
      </c>
      <c r="B146" s="24" t="n">
        <f aca="false">'Taxa de occisão'!B146</f>
        <v>272</v>
      </c>
      <c r="C146" s="24" t="n">
        <f aca="false">'Taxa de occisão'!C146</f>
        <v>0</v>
      </c>
      <c r="D146" s="17" t="n">
        <f aca="false">C146/B146</f>
        <v>0</v>
      </c>
      <c r="E146" s="5" t="n">
        <f aca="false">IF(B146&gt;=$Q$2,1,0)</f>
        <v>1</v>
      </c>
      <c r="F146" s="25" t="n">
        <f aca="false">IF(E146=1,(D146-$Q$4)/SQRT($Q$4*(1-$Q$4)/B146),"")</f>
        <v>-3.58308167090325</v>
      </c>
      <c r="G146" s="25" t="n">
        <f aca="false">IF(F146="","",MAX(MIN(F146,$Q$6),$Q$5))</f>
        <v>-3.58308167090325</v>
      </c>
      <c r="H146" s="25" t="n">
        <f aca="false">IF(F146="","",F146/SQRT($Q$7))</f>
        <v>-1.41917498170916</v>
      </c>
      <c r="I146" s="5" t="n">
        <f aca="false">IF(E146=1,B146/($Q$4*(1-$Q$4)),"")</f>
        <v>6319.51700596225</v>
      </c>
      <c r="J146" s="5" t="n">
        <f aca="false">IF(E146=1,I146*(D146-$Q$4)^2,"")</f>
        <v>12.8384742603628</v>
      </c>
      <c r="K146" s="5" t="n">
        <f aca="false">IF(E146=1,I146^2,"")</f>
        <v>39936295.1886461</v>
      </c>
      <c r="L146" s="25" t="n">
        <f aca="false">IF(E146=1,(D146-$Q$4)/SQRT($Q$4*(1-$Q$4)/B146+$Q$11),"")</f>
        <v>-0.841316746300235</v>
      </c>
      <c r="M146" s="26" t="n">
        <f aca="false">IF(H146="","",NORMSDIST(-H146))</f>
        <v>0.922075996043765</v>
      </c>
      <c r="N146" s="5" t="str">
        <f aca="false">IF(H146="","",IF(H146&gt;$Q$14,"Sim","Não"))</f>
        <v>Não</v>
      </c>
      <c r="O146" s="2"/>
      <c r="P146" s="2"/>
      <c r="Q146" s="2"/>
      <c r="R146" s="2"/>
      <c r="S146" s="2"/>
      <c r="T146" s="2"/>
      <c r="U146" s="2"/>
      <c r="V146" s="2"/>
      <c r="W146" s="2"/>
      <c r="X146" s="2"/>
    </row>
    <row r="147" customFormat="false" ht="15" hidden="false" customHeight="false" outlineLevel="0" collapsed="false">
      <c r="A147" s="24" t="str">
        <f aca="false">'Taxa de occisão'!A147</f>
        <v>Meda</v>
      </c>
      <c r="B147" s="24" t="n">
        <f aca="false">'Taxa de occisão'!B147</f>
        <v>71</v>
      </c>
      <c r="C147" s="24" t="n">
        <f aca="false">'Taxa de occisão'!C147</f>
        <v>0</v>
      </c>
      <c r="D147" s="17" t="n">
        <f aca="false">C147/B147</f>
        <v>0</v>
      </c>
      <c r="E147" s="5" t="n">
        <f aca="false">IF(B147&gt;=$Q$2,1,0)</f>
        <v>1</v>
      </c>
      <c r="F147" s="25" t="n">
        <f aca="false">IF(E147=1,(D147-$Q$4)/SQRT($Q$4*(1-$Q$4)/B147),"")</f>
        <v>-1.8306336018272</v>
      </c>
      <c r="G147" s="25" t="n">
        <f aca="false">IF(F147="","",MAX(MIN(F147,$Q$6),$Q$5))</f>
        <v>-1.8306336018272</v>
      </c>
      <c r="H147" s="25" t="n">
        <f aca="false">IF(F147="","",F147/SQRT($Q$7))</f>
        <v>-0.725071222765171</v>
      </c>
      <c r="I147" s="5" t="n">
        <f aca="false">IF(E147=1,B147/($Q$4*(1-$Q$4)),"")</f>
        <v>1649.57980670338</v>
      </c>
      <c r="J147" s="5" t="n">
        <f aca="false">IF(E147=1,I147*(D147-$Q$4)^2,"")</f>
        <v>3.35121938413882</v>
      </c>
      <c r="K147" s="5" t="n">
        <f aca="false">IF(E147=1,I147^2,"")</f>
        <v>2721113.53868357</v>
      </c>
      <c r="L147" s="25" t="n">
        <f aca="false">IF(E147=1,(D147-$Q$4)/SQRT($Q$4*(1-$Q$4)/B147+$Q$11),"")</f>
        <v>-0.782466679244146</v>
      </c>
      <c r="M147" s="26" t="n">
        <f aca="false">IF(H147="","",NORMSDIST(-H147))</f>
        <v>0.765795831176435</v>
      </c>
      <c r="N147" s="5" t="str">
        <f aca="false">IF(H147="","",IF(H147&gt;$Q$14,"Sim","Não"))</f>
        <v>Não</v>
      </c>
      <c r="O147" s="2"/>
      <c r="P147" s="2"/>
      <c r="Q147" s="2"/>
      <c r="R147" s="2"/>
      <c r="S147" s="2"/>
      <c r="T147" s="2"/>
      <c r="U147" s="2"/>
      <c r="V147" s="2"/>
      <c r="W147" s="2"/>
      <c r="X147" s="2"/>
    </row>
    <row r="148" customFormat="false" ht="15" hidden="false" customHeight="false" outlineLevel="0" collapsed="false">
      <c r="A148" s="24" t="str">
        <f aca="false">'Taxa de occisão'!A148</f>
        <v>Mira</v>
      </c>
      <c r="B148" s="24" t="n">
        <f aca="false">'Taxa de occisão'!B148</f>
        <v>20</v>
      </c>
      <c r="C148" s="24" t="n">
        <f aca="false">'Taxa de occisão'!C148</f>
        <v>0</v>
      </c>
      <c r="D148" s="17" t="n">
        <f aca="false">C148/B148</f>
        <v>0</v>
      </c>
      <c r="E148" s="5" t="n">
        <f aca="false">IF(B148&gt;=$Q$2,1,0)</f>
        <v>1</v>
      </c>
      <c r="F148" s="25" t="n">
        <f aca="false">IF(E148=1,(D148-$Q$4)/SQRT($Q$4*(1-$Q$4)/B148),"")</f>
        <v>-0.971599434088346</v>
      </c>
      <c r="G148" s="25" t="n">
        <f aca="false">IF(F148="","",MAX(MIN(F148,$Q$6),$Q$5))</f>
        <v>-0.971599434088346</v>
      </c>
      <c r="H148" s="25" t="n">
        <f aca="false">IF(F148="","",F148/SQRT($Q$7))</f>
        <v>-0.384827848133689</v>
      </c>
      <c r="I148" s="5" t="n">
        <f aca="false">IF(E148=1,B148/($Q$4*(1-$Q$4)),"")</f>
        <v>464.67036808546</v>
      </c>
      <c r="J148" s="5" t="n">
        <f aca="false">IF(E148=1,I148*(D148-$Q$4)^2,"")</f>
        <v>0.944005460320794</v>
      </c>
      <c r="K148" s="5" t="n">
        <f aca="false">IF(E148=1,I148^2,"")</f>
        <v>215918.550976677</v>
      </c>
      <c r="L148" s="25" t="n">
        <f aca="false">IF(E148=1,(D148-$Q$4)/SQRT($Q$4*(1-$Q$4)/B148+$Q$11),"")</f>
        <v>-0.646275130106137</v>
      </c>
      <c r="M148" s="26" t="n">
        <f aca="false">IF(H148="","",NORMSDIST(-H148))</f>
        <v>0.649817517370682</v>
      </c>
      <c r="N148" s="5" t="str">
        <f aca="false">IF(H148="","",IF(H148&gt;$Q$14,"Sim","Não"))</f>
        <v>Não</v>
      </c>
      <c r="O148" s="2"/>
      <c r="P148" s="2"/>
      <c r="Q148" s="2"/>
      <c r="R148" s="2"/>
      <c r="S148" s="2"/>
      <c r="T148" s="2"/>
      <c r="U148" s="2"/>
      <c r="V148" s="2"/>
      <c r="W148" s="2"/>
      <c r="X148" s="2"/>
    </row>
    <row r="149" customFormat="false" ht="15" hidden="false" customHeight="false" outlineLevel="0" collapsed="false">
      <c r="A149" s="24" t="str">
        <f aca="false">'Taxa de occisão'!A149</f>
        <v>Miranda do Corvo</v>
      </c>
      <c r="B149" s="24" t="n">
        <f aca="false">'Taxa de occisão'!B149</f>
        <v>54</v>
      </c>
      <c r="C149" s="24" t="n">
        <f aca="false">'Taxa de occisão'!C149</f>
        <v>0</v>
      </c>
      <c r="D149" s="17" t="n">
        <f aca="false">C149/B149</f>
        <v>0</v>
      </c>
      <c r="E149" s="5" t="n">
        <f aca="false">IF(B149&gt;=$Q$2,1,0)</f>
        <v>1</v>
      </c>
      <c r="F149" s="25" t="n">
        <f aca="false">IF(E149=1,(D149-$Q$4)/SQRT($Q$4*(1-$Q$4)/B149),"")</f>
        <v>-1.59650078072832</v>
      </c>
      <c r="G149" s="25" t="n">
        <f aca="false">IF(F149="","",MAX(MIN(F149,$Q$6),$Q$5))</f>
        <v>-1.59650078072832</v>
      </c>
      <c r="H149" s="25" t="n">
        <f aca="false">IF(F149="","",F149/SQRT($Q$7))</f>
        <v>-0.632336679536982</v>
      </c>
      <c r="I149" s="5" t="n">
        <f aca="false">IF(E149=1,B149/($Q$4*(1-$Q$4)),"")</f>
        <v>1254.60999383074</v>
      </c>
      <c r="J149" s="5" t="n">
        <f aca="false">IF(E149=1,I149*(D149-$Q$4)^2,"")</f>
        <v>2.54881474286614</v>
      </c>
      <c r="K149" s="5" t="n">
        <f aca="false">IF(E149=1,I149^2,"")</f>
        <v>1574046.23661997</v>
      </c>
      <c r="L149" s="25" t="n">
        <f aca="false">IF(E149=1,(D149-$Q$4)/SQRT($Q$4*(1-$Q$4)/B149+$Q$11),"")</f>
        <v>-0.760891103038193</v>
      </c>
      <c r="M149" s="26" t="n">
        <f aca="false">IF(H149="","",NORMSDIST(-H149))</f>
        <v>0.736416549755379</v>
      </c>
      <c r="N149" s="5" t="str">
        <f aca="false">IF(H149="","",IF(H149&gt;$Q$14,"Sim","Não"))</f>
        <v>Não</v>
      </c>
      <c r="O149" s="2"/>
      <c r="P149" s="2"/>
      <c r="Q149" s="2"/>
      <c r="R149" s="2"/>
      <c r="S149" s="2"/>
      <c r="T149" s="2"/>
      <c r="U149" s="2"/>
      <c r="V149" s="2"/>
      <c r="W149" s="2"/>
      <c r="X149" s="2"/>
    </row>
    <row r="150" customFormat="false" ht="15" hidden="false" customHeight="false" outlineLevel="0" collapsed="false">
      <c r="A150" s="24" t="str">
        <f aca="false">'Taxa de occisão'!A150</f>
        <v>Mogadouro</v>
      </c>
      <c r="B150" s="24" t="n">
        <f aca="false">'Taxa de occisão'!B150</f>
        <v>34</v>
      </c>
      <c r="C150" s="24" t="n">
        <f aca="false">'Taxa de occisão'!C150</f>
        <v>0</v>
      </c>
      <c r="D150" s="17" t="n">
        <f aca="false">C150/B150</f>
        <v>0</v>
      </c>
      <c r="E150" s="5" t="n">
        <f aca="false">IF(B150&gt;=$Q$2,1,0)</f>
        <v>1</v>
      </c>
      <c r="F150" s="25" t="n">
        <f aca="false">IF(E150=1,(D150-$Q$4)/SQRT($Q$4*(1-$Q$4)/B150),"")</f>
        <v>-1.26681067352046</v>
      </c>
      <c r="G150" s="25" t="n">
        <f aca="false">IF(F150="","",MAX(MIN(F150,$Q$6),$Q$5))</f>
        <v>-1.26681067352046</v>
      </c>
      <c r="H150" s="25" t="n">
        <f aca="false">IF(F150="","",F150/SQRT($Q$7))</f>
        <v>-0.501754126628421</v>
      </c>
      <c r="I150" s="5" t="n">
        <f aca="false">IF(E150=1,B150/($Q$4*(1-$Q$4)),"")</f>
        <v>789.939625745282</v>
      </c>
      <c r="J150" s="5" t="n">
        <f aca="false">IF(E150=1,I150*(D150-$Q$4)^2,"")</f>
        <v>1.60480928254535</v>
      </c>
      <c r="K150" s="5" t="n">
        <f aca="false">IF(E150=1,I150^2,"")</f>
        <v>624004.612322596</v>
      </c>
      <c r="L150" s="25" t="n">
        <f aca="false">IF(E150=1,(D150-$Q$4)/SQRT($Q$4*(1-$Q$4)/B150+$Q$11),"")</f>
        <v>-0.714643685351014</v>
      </c>
      <c r="M150" s="26" t="n">
        <f aca="false">IF(H150="","",NORMSDIST(-H150))</f>
        <v>0.692079757378545</v>
      </c>
      <c r="N150" s="5" t="str">
        <f aca="false">IF(H150="","",IF(H150&gt;$Q$14,"Sim","Não"))</f>
        <v>Não</v>
      </c>
      <c r="O150" s="2"/>
      <c r="P150" s="2"/>
      <c r="Q150" s="2"/>
      <c r="R150" s="2"/>
      <c r="S150" s="2"/>
      <c r="T150" s="2"/>
      <c r="U150" s="2"/>
      <c r="V150" s="2"/>
      <c r="W150" s="2"/>
      <c r="X150" s="2"/>
    </row>
    <row r="151" customFormat="false" ht="15" hidden="false" customHeight="false" outlineLevel="0" collapsed="false">
      <c r="A151" s="24" t="str">
        <f aca="false">'Taxa de occisão'!A151</f>
        <v>Moimenta da Beira</v>
      </c>
      <c r="B151" s="24" t="n">
        <f aca="false">'Taxa de occisão'!B151</f>
        <v>28</v>
      </c>
      <c r="C151" s="24" t="n">
        <f aca="false">'Taxa de occisão'!C151</f>
        <v>0</v>
      </c>
      <c r="D151" s="17" t="n">
        <f aca="false">C151/B151</f>
        <v>0</v>
      </c>
      <c r="E151" s="5" t="n">
        <f aca="false">IF(B151&gt;=$Q$2,1,0)</f>
        <v>1</v>
      </c>
      <c r="F151" s="25" t="n">
        <f aca="false">IF(E151=1,(D151-$Q$4)/SQRT($Q$4*(1-$Q$4)/B151),"")</f>
        <v>-1.14961195385622</v>
      </c>
      <c r="G151" s="25" t="n">
        <f aca="false">IF(F151="","",MAX(MIN(F151,$Q$6),$Q$5))</f>
        <v>-1.14961195385622</v>
      </c>
      <c r="H151" s="25" t="n">
        <f aca="false">IF(F151="","",F151/SQRT($Q$7))</f>
        <v>-0.45533445046349</v>
      </c>
      <c r="I151" s="5" t="n">
        <f aca="false">IF(E151=1,B151/($Q$4*(1-$Q$4)),"")</f>
        <v>650.538515319644</v>
      </c>
      <c r="J151" s="5" t="n">
        <f aca="false">IF(E151=1,I151*(D151-$Q$4)^2,"")</f>
        <v>1.32160764444911</v>
      </c>
      <c r="K151" s="5" t="n">
        <f aca="false">IF(E151=1,I151^2,"")</f>
        <v>423200.359914286</v>
      </c>
      <c r="L151" s="25" t="n">
        <f aca="false">IF(E151=1,(D151-$Q$4)/SQRT($Q$4*(1-$Q$4)/B151+$Q$11),"")</f>
        <v>-0.691455771204718</v>
      </c>
      <c r="M151" s="26" t="n">
        <f aca="false">IF(H151="","",NORMSDIST(-H151))</f>
        <v>0.67556567733593</v>
      </c>
      <c r="N151" s="5" t="str">
        <f aca="false">IF(H151="","",IF(H151&gt;$Q$14,"Sim","Não"))</f>
        <v>Não</v>
      </c>
      <c r="O151" s="2"/>
      <c r="P151" s="2"/>
      <c r="Q151" s="2"/>
      <c r="R151" s="2"/>
      <c r="S151" s="2"/>
      <c r="T151" s="2"/>
      <c r="U151" s="2"/>
      <c r="V151" s="2"/>
      <c r="W151" s="2"/>
      <c r="X151" s="2"/>
    </row>
    <row r="152" customFormat="false" ht="15" hidden="false" customHeight="false" outlineLevel="0" collapsed="false">
      <c r="A152" s="24" t="str">
        <f aca="false">'Taxa de occisão'!A152</f>
        <v>Monforte</v>
      </c>
      <c r="B152" s="24" t="n">
        <f aca="false">'Taxa de occisão'!B152</f>
        <v>3</v>
      </c>
      <c r="C152" s="24" t="n">
        <f aca="false">'Taxa de occisão'!C152</f>
        <v>0</v>
      </c>
      <c r="D152" s="17" t="n">
        <f aca="false">C152/B152</f>
        <v>0</v>
      </c>
      <c r="E152" s="5" t="n">
        <f aca="false">IF(B152&gt;=$Q$2,1,0)</f>
        <v>0</v>
      </c>
      <c r="F152" s="25" t="str">
        <f aca="false">IF(E152=1,(D152-$Q$4)/SQRT($Q$4*(1-$Q$4)/B152),"")</f>
        <v/>
      </c>
      <c r="G152" s="25" t="str">
        <f aca="false">IF(F152="","",MAX(MIN(F152,$Q$6),$Q$5))</f>
        <v/>
      </c>
      <c r="H152" s="25" t="str">
        <f aca="false">IF(F152="","",F152/SQRT($Q$7))</f>
        <v/>
      </c>
      <c r="I152" s="5" t="str">
        <f aca="false">IF(E152=1,B152/($Q$4*(1-$Q$4)),"")</f>
        <v/>
      </c>
      <c r="J152" s="5" t="str">
        <f aca="false">IF(E152=1,I152*(D152-$Q$4)^2,"")</f>
        <v/>
      </c>
      <c r="K152" s="5" t="str">
        <f aca="false">IF(E152=1,I152^2,"")</f>
        <v/>
      </c>
      <c r="L152" s="25" t="str">
        <f aca="false">IF(E152=1,(D152-$Q$4)/SQRT($Q$4*(1-$Q$4)/B152+$Q$11),"")</f>
        <v/>
      </c>
      <c r="M152" s="26" t="str">
        <f aca="false">IF(H152="","",NORMSDIST(-H152))</f>
        <v/>
      </c>
      <c r="N152" s="5" t="str">
        <f aca="false">IF(H152="","",IF(H152&gt;$Q$14,"Sim","Não"))</f>
        <v/>
      </c>
      <c r="O152" s="2"/>
      <c r="P152" s="2"/>
      <c r="Q152" s="2"/>
      <c r="R152" s="2"/>
      <c r="S152" s="2"/>
      <c r="T152" s="2"/>
      <c r="U152" s="2"/>
      <c r="V152" s="2"/>
      <c r="W152" s="2"/>
      <c r="X152" s="2"/>
    </row>
    <row r="153" customFormat="false" ht="15" hidden="false" customHeight="false" outlineLevel="0" collapsed="false">
      <c r="A153" s="24" t="str">
        <f aca="false">'Taxa de occisão'!A153</f>
        <v>Mértola</v>
      </c>
      <c r="B153" s="24" t="n">
        <f aca="false">'Taxa de occisão'!B153</f>
        <v>95</v>
      </c>
      <c r="C153" s="24" t="n">
        <f aca="false">'Taxa de occisão'!C153</f>
        <v>0</v>
      </c>
      <c r="D153" s="17" t="n">
        <f aca="false">C153/B153</f>
        <v>0</v>
      </c>
      <c r="E153" s="5" t="n">
        <f aca="false">IF(B153&gt;=$Q$2,1,0)</f>
        <v>1</v>
      </c>
      <c r="F153" s="25" t="n">
        <f aca="false">IF(E153=1,(D153-$Q$4)/SQRT($Q$4*(1-$Q$4)/B153),"")</f>
        <v>-2.1175518733962</v>
      </c>
      <c r="G153" s="25" t="n">
        <f aca="false">IF(F153="","",MAX(MIN(F153,$Q$6),$Q$5))</f>
        <v>-2.1175518733962</v>
      </c>
      <c r="H153" s="25" t="n">
        <f aca="false">IF(F153="","",F153/SQRT($Q$7))</f>
        <v>-0.838712850337485</v>
      </c>
      <c r="I153" s="5" t="n">
        <f aca="false">IF(E153=1,B153/($Q$4*(1-$Q$4)),"")</f>
        <v>2207.18424840593</v>
      </c>
      <c r="J153" s="5" t="n">
        <f aca="false">IF(E153=1,I153*(D153-$Q$4)^2,"")</f>
        <v>4.48402593652377</v>
      </c>
      <c r="K153" s="5" t="n">
        <f aca="false">IF(E153=1,I153^2,"")</f>
        <v>4871662.30641127</v>
      </c>
      <c r="L153" s="25" t="n">
        <f aca="false">IF(E153=1,(D153-$Q$4)/SQRT($Q$4*(1-$Q$4)/B153+$Q$11),"")</f>
        <v>-0.801174086328516</v>
      </c>
      <c r="M153" s="26" t="n">
        <f aca="false">IF(H153="","",NORMSDIST(-H153))</f>
        <v>0.799184767253899</v>
      </c>
      <c r="N153" s="5" t="str">
        <f aca="false">IF(H153="","",IF(H153&gt;$Q$14,"Sim","Não"))</f>
        <v>Não</v>
      </c>
      <c r="O153" s="2"/>
      <c r="P153" s="2"/>
      <c r="Q153" s="2"/>
      <c r="R153" s="2"/>
      <c r="S153" s="2"/>
      <c r="T153" s="2"/>
      <c r="U153" s="2"/>
      <c r="V153" s="2"/>
      <c r="W153" s="2"/>
      <c r="X153" s="2"/>
    </row>
    <row r="154" customFormat="false" ht="15" hidden="false" customHeight="false" outlineLevel="0" collapsed="false">
      <c r="A154" s="24" t="str">
        <f aca="false">'Taxa de occisão'!A154</f>
        <v>Nazaré</v>
      </c>
      <c r="B154" s="24" t="n">
        <f aca="false">'Taxa de occisão'!B154</f>
        <v>92</v>
      </c>
      <c r="C154" s="24" t="n">
        <f aca="false">'Taxa de occisão'!C154</f>
        <v>0</v>
      </c>
      <c r="D154" s="17" t="n">
        <f aca="false">C154/B154</f>
        <v>0</v>
      </c>
      <c r="E154" s="5" t="n">
        <f aca="false">IF(B154&gt;=$Q$2,1,0)</f>
        <v>1</v>
      </c>
      <c r="F154" s="25" t="n">
        <f aca="false">IF(E154=1,(D154-$Q$4)/SQRT($Q$4*(1-$Q$4)/B154),"")</f>
        <v>-2.08384863113319</v>
      </c>
      <c r="G154" s="25" t="n">
        <f aca="false">IF(F154="","",MAX(MIN(F154,$Q$6),$Q$5))</f>
        <v>-2.08384863113319</v>
      </c>
      <c r="H154" s="25" t="n">
        <f aca="false">IF(F154="","",F154/SQRT($Q$7))</f>
        <v>-0.825363783077709</v>
      </c>
      <c r="I154" s="5" t="n">
        <f aca="false">IF(E154=1,B154/($Q$4*(1-$Q$4)),"")</f>
        <v>2137.48369319312</v>
      </c>
      <c r="J154" s="5" t="n">
        <f aca="false">IF(E154=1,I154*(D154-$Q$4)^2,"")</f>
        <v>4.34242511747565</v>
      </c>
      <c r="K154" s="5" t="n">
        <f aca="false">IF(E154=1,I154^2,"")</f>
        <v>4568836.53866648</v>
      </c>
      <c r="L154" s="25" t="n">
        <f aca="false">IF(E154=1,(D154-$Q$4)/SQRT($Q$4*(1-$Q$4)/B154+$Q$11),"")</f>
        <v>-0.799310717541638</v>
      </c>
      <c r="M154" s="26" t="n">
        <f aca="false">IF(H154="","",NORMSDIST(-H154))</f>
        <v>0.795417455004393</v>
      </c>
      <c r="N154" s="5" t="str">
        <f aca="false">IF(H154="","",IF(H154&gt;$Q$14,"Sim","Não"))</f>
        <v>Não</v>
      </c>
      <c r="O154" s="2"/>
      <c r="P154" s="2"/>
      <c r="Q154" s="2"/>
      <c r="R154" s="2"/>
      <c r="S154" s="2"/>
      <c r="T154" s="2"/>
      <c r="U154" s="2"/>
      <c r="V154" s="2"/>
      <c r="W154" s="2"/>
      <c r="X154" s="2"/>
    </row>
    <row r="155" customFormat="false" ht="15" hidden="false" customHeight="false" outlineLevel="0" collapsed="false">
      <c r="A155" s="24" t="str">
        <f aca="false">'Taxa de occisão'!A155</f>
        <v>Oliveira de Frades</v>
      </c>
      <c r="B155" s="24" t="n">
        <f aca="false">'Taxa de occisão'!B155</f>
        <v>6</v>
      </c>
      <c r="C155" s="24" t="n">
        <f aca="false">'Taxa de occisão'!C155</f>
        <v>0</v>
      </c>
      <c r="D155" s="17" t="n">
        <f aca="false">C155/B155</f>
        <v>0</v>
      </c>
      <c r="E155" s="5" t="n">
        <f aca="false">IF(B155&gt;=$Q$2,1,0)</f>
        <v>0</v>
      </c>
      <c r="F155" s="25" t="str">
        <f aca="false">IF(E155=1,(D155-$Q$4)/SQRT($Q$4*(1-$Q$4)/B155),"")</f>
        <v/>
      </c>
      <c r="G155" s="25" t="str">
        <f aca="false">IF(F155="","",MAX(MIN(F155,$Q$6),$Q$5))</f>
        <v/>
      </c>
      <c r="H155" s="25" t="str">
        <f aca="false">IF(F155="","",F155/SQRT($Q$7))</f>
        <v/>
      </c>
      <c r="I155" s="5" t="str">
        <f aca="false">IF(E155=1,B155/($Q$4*(1-$Q$4)),"")</f>
        <v/>
      </c>
      <c r="J155" s="5" t="str">
        <f aca="false">IF(E155=1,I155*(D155-$Q$4)^2,"")</f>
        <v/>
      </c>
      <c r="K155" s="5" t="str">
        <f aca="false">IF(E155=1,I155^2,"")</f>
        <v/>
      </c>
      <c r="L155" s="25" t="str">
        <f aca="false">IF(E155=1,(D155-$Q$4)/SQRT($Q$4*(1-$Q$4)/B155+$Q$11),"")</f>
        <v/>
      </c>
      <c r="M155" s="26" t="str">
        <f aca="false">IF(H155="","",NORMSDIST(-H155))</f>
        <v/>
      </c>
      <c r="N155" s="5" t="str">
        <f aca="false">IF(H155="","",IF(H155&gt;$Q$14,"Sim","Não"))</f>
        <v/>
      </c>
      <c r="O155" s="2"/>
      <c r="P155" s="2"/>
      <c r="Q155" s="2"/>
      <c r="R155" s="2"/>
      <c r="S155" s="2"/>
      <c r="T155" s="2"/>
      <c r="U155" s="2"/>
      <c r="V155" s="2"/>
      <c r="W155" s="2"/>
      <c r="X155" s="2"/>
    </row>
    <row r="156" customFormat="false" ht="15" hidden="false" customHeight="false" outlineLevel="0" collapsed="false">
      <c r="A156" s="24" t="str">
        <f aca="false">'Taxa de occisão'!A156</f>
        <v>Oliveira do Hospital</v>
      </c>
      <c r="B156" s="24" t="n">
        <f aca="false">'Taxa de occisão'!B156</f>
        <v>278</v>
      </c>
      <c r="C156" s="24" t="n">
        <f aca="false">'Taxa de occisão'!C156</f>
        <v>0</v>
      </c>
      <c r="D156" s="17" t="n">
        <f aca="false">C156/B156</f>
        <v>0</v>
      </c>
      <c r="E156" s="5" t="n">
        <f aca="false">IF(B156&gt;=$Q$2,1,0)</f>
        <v>1</v>
      </c>
      <c r="F156" s="25" t="n">
        <f aca="false">IF(E156=1,(D156-$Q$4)/SQRT($Q$4*(1-$Q$4)/B156),"")</f>
        <v>-3.62238538789829</v>
      </c>
      <c r="G156" s="25" t="n">
        <f aca="false">IF(F156="","",MAX(MIN(F156,$Q$6),$Q$5))</f>
        <v>-3.58701204260275</v>
      </c>
      <c r="H156" s="25" t="n">
        <f aca="false">IF(F156="","",F156/SQRT($Q$7))</f>
        <v>-1.43474226623424</v>
      </c>
      <c r="I156" s="5" t="n">
        <f aca="false">IF(E156=1,B156/($Q$4*(1-$Q$4)),"")</f>
        <v>6458.91811638789</v>
      </c>
      <c r="J156" s="5" t="n">
        <f aca="false">IF(E156=1,I156*(D156-$Q$4)^2,"")</f>
        <v>13.121675898459</v>
      </c>
      <c r="K156" s="5" t="n">
        <f aca="false">IF(E156=1,I156^2,"")</f>
        <v>41717623.2342037</v>
      </c>
      <c r="L156" s="25" t="n">
        <f aca="false">IF(E156=1,(D156-$Q$4)/SQRT($Q$4*(1-$Q$4)/B156+$Q$11),"")</f>
        <v>-0.841817736733785</v>
      </c>
      <c r="M156" s="26" t="n">
        <f aca="false">IF(H156="","",NORMSDIST(-H156))</f>
        <v>0.924319722407239</v>
      </c>
      <c r="N156" s="5" t="str">
        <f aca="false">IF(H156="","",IF(H156&gt;$Q$14,"Sim","Não"))</f>
        <v>Não</v>
      </c>
      <c r="O156" s="2"/>
      <c r="P156" s="2"/>
      <c r="Q156" s="2"/>
      <c r="R156" s="2"/>
      <c r="S156" s="2"/>
      <c r="T156" s="2"/>
      <c r="U156" s="2"/>
      <c r="V156" s="2"/>
      <c r="W156" s="2"/>
      <c r="X156" s="2"/>
    </row>
    <row r="157" customFormat="false" ht="15" hidden="false" customHeight="false" outlineLevel="0" collapsed="false">
      <c r="A157" s="24" t="str">
        <f aca="false">'Taxa de occisão'!A157</f>
        <v>Penacova</v>
      </c>
      <c r="B157" s="24" t="n">
        <f aca="false">'Taxa de occisão'!B157</f>
        <v>84</v>
      </c>
      <c r="C157" s="24" t="n">
        <f aca="false">'Taxa de occisão'!C157</f>
        <v>0</v>
      </c>
      <c r="D157" s="17" t="n">
        <f aca="false">C157/B157</f>
        <v>0</v>
      </c>
      <c r="E157" s="5" t="n">
        <f aca="false">IF(B157&gt;=$Q$2,1,0)</f>
        <v>1</v>
      </c>
      <c r="F157" s="25" t="n">
        <f aca="false">IF(E157=1,(D157-$Q$4)/SQRT($Q$4*(1-$Q$4)/B157),"")</f>
        <v>-1.9911863130675</v>
      </c>
      <c r="G157" s="25" t="n">
        <f aca="false">IF(F157="","",MAX(MIN(F157,$Q$6),$Q$5))</f>
        <v>-1.9911863130675</v>
      </c>
      <c r="H157" s="25" t="n">
        <f aca="false">IF(F157="","",F157/SQRT($Q$7))</f>
        <v>-0.788662402639218</v>
      </c>
      <c r="I157" s="5" t="n">
        <f aca="false">IF(E157=1,B157/($Q$4*(1-$Q$4)),"")</f>
        <v>1951.61554595893</v>
      </c>
      <c r="J157" s="5" t="n">
        <f aca="false">IF(E157=1,I157*(D157-$Q$4)^2,"")</f>
        <v>3.96482293334733</v>
      </c>
      <c r="K157" s="5" t="n">
        <f aca="false">IF(E157=1,I157^2,"")</f>
        <v>3808803.23922858</v>
      </c>
      <c r="L157" s="25" t="n">
        <f aca="false">IF(E157=1,(D157-$Q$4)/SQRT($Q$4*(1-$Q$4)/B157+$Q$11),"")</f>
        <v>-0.793768797843019</v>
      </c>
      <c r="M157" s="26" t="n">
        <f aca="false">IF(H157="","",NORMSDIST(-H157))</f>
        <v>0.784845326030222</v>
      </c>
      <c r="N157" s="5" t="str">
        <f aca="false">IF(H157="","",IF(H157&gt;$Q$14,"Sim","Não"))</f>
        <v>Não</v>
      </c>
      <c r="O157" s="2"/>
      <c r="P157" s="2"/>
      <c r="Q157" s="2"/>
      <c r="R157" s="2"/>
      <c r="S157" s="2"/>
      <c r="T157" s="2"/>
      <c r="U157" s="2"/>
      <c r="V157" s="2"/>
      <c r="W157" s="2"/>
      <c r="X157" s="2"/>
    </row>
    <row r="158" customFormat="false" ht="15" hidden="false" customHeight="false" outlineLevel="0" collapsed="false">
      <c r="A158" s="24" t="str">
        <f aca="false">'Taxa de occisão'!A158</f>
        <v>Portalegre</v>
      </c>
      <c r="B158" s="24" t="n">
        <f aca="false">'Taxa de occisão'!B158</f>
        <v>44</v>
      </c>
      <c r="C158" s="24" t="n">
        <f aca="false">'Taxa de occisão'!C158</f>
        <v>0</v>
      </c>
      <c r="D158" s="17" t="n">
        <f aca="false">C158/B158</f>
        <v>0</v>
      </c>
      <c r="E158" s="5" t="n">
        <f aca="false">IF(B158&gt;=$Q$2,1,0)</f>
        <v>1</v>
      </c>
      <c r="F158" s="25" t="n">
        <f aca="false">IF(E158=1,(D158-$Q$4)/SQRT($Q$4*(1-$Q$4)/B158),"")</f>
        <v>-1.4411148506298</v>
      </c>
      <c r="G158" s="25" t="n">
        <f aca="false">IF(F158="","",MAX(MIN(F158,$Q$6),$Q$5))</f>
        <v>-1.4411148506298</v>
      </c>
      <c r="H158" s="25" t="n">
        <f aca="false">IF(F158="","",F158/SQRT($Q$7))</f>
        <v>-0.570791941024269</v>
      </c>
      <c r="I158" s="5" t="n">
        <f aca="false">IF(E158=1,B158/($Q$4*(1-$Q$4)),"")</f>
        <v>1022.27480978801</v>
      </c>
      <c r="J158" s="5" t="n">
        <f aca="false">IF(E158=1,I158*(D158-$Q$4)^2,"")</f>
        <v>2.07681201270575</v>
      </c>
      <c r="K158" s="5" t="n">
        <f aca="false">IF(E158=1,I158^2,"")</f>
        <v>1045045.78672712</v>
      </c>
      <c r="L158" s="25" t="n">
        <f aca="false">IF(E158=1,(D158-$Q$4)/SQRT($Q$4*(1-$Q$4)/B158+$Q$11),"")</f>
        <v>-0.741980005524942</v>
      </c>
      <c r="M158" s="26" t="n">
        <f aca="false">IF(H158="","",NORMSDIST(-H158))</f>
        <v>0.71592965677438</v>
      </c>
      <c r="N158" s="5" t="str">
        <f aca="false">IF(H158="","",IF(H158&gt;$Q$14,"Sim","Não"))</f>
        <v>Não</v>
      </c>
      <c r="O158" s="2"/>
      <c r="P158" s="2"/>
      <c r="Q158" s="2"/>
      <c r="R158" s="2"/>
      <c r="S158" s="2"/>
      <c r="T158" s="2"/>
      <c r="U158" s="2"/>
      <c r="V158" s="2"/>
      <c r="W158" s="2"/>
      <c r="X158" s="2"/>
    </row>
    <row r="159" customFormat="false" ht="15" hidden="false" customHeight="false" outlineLevel="0" collapsed="false">
      <c r="A159" s="24" t="str">
        <f aca="false">'Taxa de occisão'!A159</f>
        <v>Portel</v>
      </c>
      <c r="B159" s="24" t="n">
        <f aca="false">'Taxa de occisão'!B159</f>
        <v>21</v>
      </c>
      <c r="C159" s="24" t="n">
        <f aca="false">'Taxa de occisão'!C159</f>
        <v>0</v>
      </c>
      <c r="D159" s="17" t="n">
        <f aca="false">C159/B159</f>
        <v>0</v>
      </c>
      <c r="E159" s="5" t="n">
        <f aca="false">IF(B159&gt;=$Q$2,1,0)</f>
        <v>1</v>
      </c>
      <c r="F159" s="25" t="n">
        <f aca="false">IF(E159=1,(D159-$Q$4)/SQRT($Q$4*(1-$Q$4)/B159),"")</f>
        <v>-0.995593156533749</v>
      </c>
      <c r="G159" s="25" t="n">
        <f aca="false">IF(F159="","",MAX(MIN(F159,$Q$6),$Q$5))</f>
        <v>-0.995593156533749</v>
      </c>
      <c r="H159" s="25" t="n">
        <f aca="false">IF(F159="","",F159/SQRT($Q$7))</f>
        <v>-0.394331201319609</v>
      </c>
      <c r="I159" s="5" t="n">
        <f aca="false">IF(E159=1,B159/($Q$4*(1-$Q$4)),"")</f>
        <v>487.903886489733</v>
      </c>
      <c r="J159" s="5" t="n">
        <f aca="false">IF(E159=1,I159*(D159-$Q$4)^2,"")</f>
        <v>0.991205733336834</v>
      </c>
      <c r="K159" s="5" t="n">
        <f aca="false">IF(E159=1,I159^2,"")</f>
        <v>238050.202451786</v>
      </c>
      <c r="L159" s="25" t="n">
        <f aca="false">IF(E159=1,(D159-$Q$4)/SQRT($Q$4*(1-$Q$4)/B159+$Q$11),"")</f>
        <v>-0.653192775147712</v>
      </c>
      <c r="M159" s="26" t="n">
        <f aca="false">IF(H159="","",NORMSDIST(-H159))</f>
        <v>0.653331734842413</v>
      </c>
      <c r="N159" s="5" t="str">
        <f aca="false">IF(H159="","",IF(H159&gt;$Q$14,"Sim","Não"))</f>
        <v>Não</v>
      </c>
      <c r="O159" s="2"/>
      <c r="P159" s="2"/>
      <c r="Q159" s="2"/>
      <c r="R159" s="2"/>
      <c r="S159" s="2"/>
      <c r="T159" s="2"/>
      <c r="U159" s="2"/>
      <c r="V159" s="2"/>
      <c r="W159" s="2"/>
      <c r="X159" s="2"/>
    </row>
    <row r="160" customFormat="false" ht="15" hidden="false" customHeight="false" outlineLevel="0" collapsed="false">
      <c r="A160" s="24" t="str">
        <f aca="false">'Taxa de occisão'!A160</f>
        <v>Reguengos de Monsaraz</v>
      </c>
      <c r="B160" s="24" t="n">
        <f aca="false">'Taxa de occisão'!B160</f>
        <v>93</v>
      </c>
      <c r="C160" s="24" t="n">
        <f aca="false">'Taxa de occisão'!C160</f>
        <v>0</v>
      </c>
      <c r="D160" s="17" t="n">
        <f aca="false">C160/B160</f>
        <v>0</v>
      </c>
      <c r="E160" s="5" t="n">
        <f aca="false">IF(B160&gt;=$Q$2,1,0)</f>
        <v>1</v>
      </c>
      <c r="F160" s="25" t="n">
        <f aca="false">IF(E160=1,(D160-$Q$4)/SQRT($Q$4*(1-$Q$4)/B160),"")</f>
        <v>-2.0951432863868</v>
      </c>
      <c r="G160" s="25" t="n">
        <f aca="false">IF(F160="","",MAX(MIN(F160,$Q$6),$Q$5))</f>
        <v>-2.0951432863868</v>
      </c>
      <c r="H160" s="25" t="n">
        <f aca="false">IF(F160="","",F160/SQRT($Q$7))</f>
        <v>-0.829837332283447</v>
      </c>
      <c r="I160" s="5" t="n">
        <f aca="false">IF(E160=1,B160/($Q$4*(1-$Q$4)),"")</f>
        <v>2160.71721159739</v>
      </c>
      <c r="J160" s="5" t="n">
        <f aca="false">IF(E160=1,I160*(D160-$Q$4)^2,"")</f>
        <v>4.38962539049169</v>
      </c>
      <c r="K160" s="5" t="n">
        <f aca="false">IF(E160=1,I160^2,"")</f>
        <v>4668698.86849319</v>
      </c>
      <c r="L160" s="25" t="n">
        <f aca="false">IF(E160=1,(D160-$Q$4)/SQRT($Q$4*(1-$Q$4)/B160+$Q$11),"")</f>
        <v>-0.799943737352996</v>
      </c>
      <c r="M160" s="26" t="n">
        <f aca="false">IF(H160="","",NORMSDIST(-H160))</f>
        <v>0.796684619801785</v>
      </c>
      <c r="N160" s="5" t="str">
        <f aca="false">IF(H160="","",IF(H160&gt;$Q$14,"Sim","Não"))</f>
        <v>Não</v>
      </c>
      <c r="O160" s="2"/>
      <c r="P160" s="2"/>
      <c r="Q160" s="2"/>
      <c r="R160" s="2"/>
      <c r="S160" s="2"/>
      <c r="T160" s="2"/>
      <c r="U160" s="2"/>
      <c r="V160" s="2"/>
      <c r="W160" s="2"/>
      <c r="X160" s="2"/>
    </row>
    <row r="161" customFormat="false" ht="15" hidden="false" customHeight="false" outlineLevel="0" collapsed="false">
      <c r="A161" s="24" t="str">
        <f aca="false">'Taxa de occisão'!A161</f>
        <v>Resende</v>
      </c>
      <c r="B161" s="24" t="n">
        <f aca="false">'Taxa de occisão'!B161</f>
        <v>228</v>
      </c>
      <c r="C161" s="24" t="n">
        <f aca="false">'Taxa de occisão'!C161</f>
        <v>0</v>
      </c>
      <c r="D161" s="17" t="n">
        <f aca="false">C161/B161</f>
        <v>0</v>
      </c>
      <c r="E161" s="5" t="n">
        <f aca="false">IF(B161&gt;=$Q$2,1,0)</f>
        <v>1</v>
      </c>
      <c r="F161" s="25" t="n">
        <f aca="false">IF(E161=1,(D161-$Q$4)/SQRT($Q$4*(1-$Q$4)/B161),"")</f>
        <v>-3.28049725615753</v>
      </c>
      <c r="G161" s="25" t="n">
        <f aca="false">IF(F161="","",MAX(MIN(F161,$Q$6),$Q$5))</f>
        <v>-3.28049725615753</v>
      </c>
      <c r="H161" s="25" t="n">
        <f aca="false">IF(F161="","",F161/SQRT($Q$7))</f>
        <v>-1.29932836064289</v>
      </c>
      <c r="I161" s="5" t="n">
        <f aca="false">IF(E161=1,B161/($Q$4*(1-$Q$4)),"")</f>
        <v>5297.24219617424</v>
      </c>
      <c r="J161" s="5" t="n">
        <f aca="false">IF(E161=1,I161*(D161-$Q$4)^2,"")</f>
        <v>10.7616622476571</v>
      </c>
      <c r="K161" s="5" t="n">
        <f aca="false">IF(E161=1,I161^2,"")</f>
        <v>28060774.8849289</v>
      </c>
      <c r="L161" s="25" t="n">
        <f aca="false">IF(E161=1,(D161-$Q$4)/SQRT($Q$4*(1-$Q$4)/B161+$Q$11),"")</f>
        <v>-0.836876528427326</v>
      </c>
      <c r="M161" s="26" t="n">
        <f aca="false">IF(H161="","",NORMSDIST(-H161))</f>
        <v>0.903084367269652</v>
      </c>
      <c r="N161" s="5" t="str">
        <f aca="false">IF(H161="","",IF(H161&gt;$Q$14,"Sim","Não"))</f>
        <v>Não</v>
      </c>
      <c r="O161" s="2"/>
      <c r="P161" s="2"/>
      <c r="Q161" s="2"/>
      <c r="R161" s="2"/>
      <c r="S161" s="2"/>
      <c r="T161" s="2"/>
      <c r="U161" s="2"/>
      <c r="V161" s="2"/>
      <c r="W161" s="2"/>
      <c r="X161" s="2"/>
    </row>
    <row r="162" customFormat="false" ht="15" hidden="false" customHeight="false" outlineLevel="0" collapsed="false">
      <c r="A162" s="24" t="str">
        <f aca="false">'Taxa de occisão'!A162</f>
        <v>Santo Tirso</v>
      </c>
      <c r="B162" s="24" t="n">
        <f aca="false">'Taxa de occisão'!B162</f>
        <v>315</v>
      </c>
      <c r="C162" s="24" t="n">
        <f aca="false">'Taxa de occisão'!C162</f>
        <v>0</v>
      </c>
      <c r="D162" s="17" t="n">
        <f aca="false">C162/B162</f>
        <v>0</v>
      </c>
      <c r="E162" s="5" t="n">
        <f aca="false">IF(B162&gt;=$Q$2,1,0)</f>
        <v>1</v>
      </c>
      <c r="F162" s="25" t="n">
        <f aca="false">IF(E162=1,(D162-$Q$4)/SQRT($Q$4*(1-$Q$4)/B162),"")</f>
        <v>-3.85591571485328</v>
      </c>
      <c r="G162" s="25" t="n">
        <f aca="false">IF(F162="","",MAX(MIN(F162,$Q$6),$Q$5))</f>
        <v>-3.58701204260275</v>
      </c>
      <c r="H162" s="25" t="n">
        <f aca="false">IF(F162="","",F162/SQRT($Q$7))</f>
        <v>-1.52723817560081</v>
      </c>
      <c r="I162" s="5" t="n">
        <f aca="false">IF(E162=1,B162/($Q$4*(1-$Q$4)),"")</f>
        <v>7318.55829734599</v>
      </c>
      <c r="J162" s="5" t="n">
        <f aca="false">IF(E162=1,I162*(D162-$Q$4)^2,"")</f>
        <v>14.8680860000525</v>
      </c>
      <c r="K162" s="5" t="n">
        <f aca="false">IF(E162=1,I162^2,"")</f>
        <v>53561295.5516519</v>
      </c>
      <c r="L162" s="25" t="n">
        <f aca="false">IF(E162=1,(D162-$Q$4)/SQRT($Q$4*(1-$Q$4)/B162+$Q$11),"")</f>
        <v>-0.844500598949616</v>
      </c>
      <c r="M162" s="26" t="n">
        <f aca="false">IF(H162="","",NORMSDIST(-H162))</f>
        <v>0.936649101684849</v>
      </c>
      <c r="N162" s="5" t="str">
        <f aca="false">IF(H162="","",IF(H162&gt;$Q$14,"Sim","Não"))</f>
        <v>Não</v>
      </c>
      <c r="O162" s="2"/>
      <c r="P162" s="2"/>
      <c r="Q162" s="2"/>
      <c r="R162" s="2"/>
      <c r="S162" s="2"/>
      <c r="T162" s="2"/>
      <c r="U162" s="2"/>
      <c r="V162" s="2"/>
      <c r="W162" s="2"/>
      <c r="X162" s="2"/>
    </row>
    <row r="163" customFormat="false" ht="15" hidden="false" customHeight="false" outlineLevel="0" collapsed="false">
      <c r="A163" s="24" t="str">
        <f aca="false">'Taxa de occisão'!A163</f>
        <v>Sardoal</v>
      </c>
      <c r="B163" s="24" t="n">
        <f aca="false">'Taxa de occisão'!B163</f>
        <v>7</v>
      </c>
      <c r="C163" s="24" t="n">
        <f aca="false">'Taxa de occisão'!C163</f>
        <v>0</v>
      </c>
      <c r="D163" s="17" t="n">
        <f aca="false">C163/B163</f>
        <v>0</v>
      </c>
      <c r="E163" s="5" t="n">
        <f aca="false">IF(B163&gt;=$Q$2,1,0)</f>
        <v>0</v>
      </c>
      <c r="F163" s="25" t="str">
        <f aca="false">IF(E163=1,(D163-$Q$4)/SQRT($Q$4*(1-$Q$4)/B163),"")</f>
        <v/>
      </c>
      <c r="G163" s="25" t="str">
        <f aca="false">IF(F163="","",MAX(MIN(F163,$Q$6),$Q$5))</f>
        <v/>
      </c>
      <c r="H163" s="25" t="str">
        <f aca="false">IF(F163="","",F163/SQRT($Q$7))</f>
        <v/>
      </c>
      <c r="I163" s="5" t="str">
        <f aca="false">IF(E163=1,B163/($Q$4*(1-$Q$4)),"")</f>
        <v/>
      </c>
      <c r="J163" s="5" t="str">
        <f aca="false">IF(E163=1,I163*(D163-$Q$4)^2,"")</f>
        <v/>
      </c>
      <c r="K163" s="5" t="str">
        <f aca="false">IF(E163=1,I163^2,"")</f>
        <v/>
      </c>
      <c r="L163" s="25" t="str">
        <f aca="false">IF(E163=1,(D163-$Q$4)/SQRT($Q$4*(1-$Q$4)/B163+$Q$11),"")</f>
        <v/>
      </c>
      <c r="M163" s="26" t="str">
        <f aca="false">IF(H163="","",NORMSDIST(-H163))</f>
        <v/>
      </c>
      <c r="N163" s="5" t="str">
        <f aca="false">IF(H163="","",IF(H163&gt;$Q$14,"Sim","Não"))</f>
        <v/>
      </c>
      <c r="O163" s="2"/>
      <c r="P163" s="2"/>
      <c r="Q163" s="2"/>
      <c r="R163" s="2"/>
      <c r="S163" s="2"/>
      <c r="T163" s="2"/>
      <c r="U163" s="2"/>
      <c r="V163" s="2"/>
      <c r="W163" s="2"/>
      <c r="X163" s="2"/>
    </row>
    <row r="164" customFormat="false" ht="15" hidden="false" customHeight="false" outlineLevel="0" collapsed="false">
      <c r="A164" s="24" t="str">
        <f aca="false">'Taxa de occisão'!A164</f>
        <v>Silves</v>
      </c>
      <c r="B164" s="24" t="n">
        <f aca="false">'Taxa de occisão'!B164</f>
        <v>463</v>
      </c>
      <c r="C164" s="24" t="n">
        <f aca="false">'Taxa de occisão'!C164</f>
        <v>0</v>
      </c>
      <c r="D164" s="17" t="n">
        <f aca="false">C164/B164</f>
        <v>0</v>
      </c>
      <c r="E164" s="5" t="n">
        <f aca="false">IF(B164&gt;=$Q$2,1,0)</f>
        <v>1</v>
      </c>
      <c r="F164" s="25" t="n">
        <f aca="false">IF(E164=1,(D164-$Q$4)/SQRT($Q$4*(1-$Q$4)/B164),"")</f>
        <v>-4.67479693745369</v>
      </c>
      <c r="G164" s="25" t="n">
        <f aca="false">IF(F164="","",MAX(MIN(F164,$Q$6),$Q$5))</f>
        <v>-3.58701204260275</v>
      </c>
      <c r="H164" s="25" t="n">
        <f aca="false">IF(F164="","",F164/SQRT($Q$7))</f>
        <v>-1.85157790626984</v>
      </c>
      <c r="I164" s="5" t="n">
        <f aca="false">IF(E164=1,B164/($Q$4*(1-$Q$4)),"")</f>
        <v>10757.1190211784</v>
      </c>
      <c r="J164" s="5" t="n">
        <f aca="false">IF(E164=1,I164*(D164-$Q$4)^2,"")</f>
        <v>21.8537264064264</v>
      </c>
      <c r="K164" s="5" t="n">
        <f aca="false">IF(E164=1,I164^2,"")</f>
        <v>115715609.635798</v>
      </c>
      <c r="L164" s="25" t="n">
        <f aca="false">IF(E164=1,(D164-$Q$4)/SQRT($Q$4*(1-$Q$4)/B164+$Q$11),"")</f>
        <v>-0.85105035695128</v>
      </c>
      <c r="M164" s="26" t="n">
        <f aca="false">IF(H164="","",NORMSDIST(-H164))</f>
        <v>0.967956770966428</v>
      </c>
      <c r="N164" s="5" t="str">
        <f aca="false">IF(H164="","",IF(H164&gt;$Q$14,"Sim","Não"))</f>
        <v>Não</v>
      </c>
      <c r="O164" s="2"/>
      <c r="P164" s="2"/>
      <c r="Q164" s="2"/>
      <c r="R164" s="2"/>
      <c r="S164" s="2"/>
      <c r="T164" s="2"/>
      <c r="U164" s="2"/>
      <c r="V164" s="2"/>
      <c r="W164" s="2"/>
      <c r="X164" s="2"/>
    </row>
    <row r="165" customFormat="false" ht="15" hidden="false" customHeight="false" outlineLevel="0" collapsed="false">
      <c r="A165" s="24" t="str">
        <f aca="false">'Taxa de occisão'!A165</f>
        <v>Sousel</v>
      </c>
      <c r="B165" s="24" t="n">
        <f aca="false">'Taxa de occisão'!B165</f>
        <v>3</v>
      </c>
      <c r="C165" s="24" t="n">
        <f aca="false">'Taxa de occisão'!C165</f>
        <v>0</v>
      </c>
      <c r="D165" s="17" t="n">
        <f aca="false">C165/B165</f>
        <v>0</v>
      </c>
      <c r="E165" s="5" t="n">
        <f aca="false">IF(B165&gt;=$Q$2,1,0)</f>
        <v>0</v>
      </c>
      <c r="F165" s="25" t="str">
        <f aca="false">IF(E165=1,(D165-$Q$4)/SQRT($Q$4*(1-$Q$4)/B165),"")</f>
        <v/>
      </c>
      <c r="G165" s="25" t="str">
        <f aca="false">IF(F165="","",MAX(MIN(F165,$Q$6),$Q$5))</f>
        <v/>
      </c>
      <c r="H165" s="25" t="str">
        <f aca="false">IF(F165="","",F165/SQRT($Q$7))</f>
        <v/>
      </c>
      <c r="I165" s="5" t="str">
        <f aca="false">IF(E165=1,B165/($Q$4*(1-$Q$4)),"")</f>
        <v/>
      </c>
      <c r="J165" s="5" t="str">
        <f aca="false">IF(E165=1,I165*(D165-$Q$4)^2,"")</f>
        <v/>
      </c>
      <c r="K165" s="5" t="str">
        <f aca="false">IF(E165=1,I165^2,"")</f>
        <v/>
      </c>
      <c r="L165" s="25" t="str">
        <f aca="false">IF(E165=1,(D165-$Q$4)/SQRT($Q$4*(1-$Q$4)/B165+$Q$11),"")</f>
        <v/>
      </c>
      <c r="M165" s="26" t="str">
        <f aca="false">IF(H165="","",NORMSDIST(-H165))</f>
        <v/>
      </c>
      <c r="N165" s="5" t="str">
        <f aca="false">IF(H165="","",IF(H165&gt;$Q$14,"Sim","Não"))</f>
        <v/>
      </c>
      <c r="O165" s="2"/>
      <c r="P165" s="2"/>
      <c r="Q165" s="2"/>
      <c r="R165" s="2"/>
      <c r="S165" s="2"/>
      <c r="T165" s="2"/>
      <c r="U165" s="2"/>
      <c r="V165" s="2"/>
      <c r="W165" s="2"/>
      <c r="X165" s="2"/>
    </row>
    <row r="166" customFormat="false" ht="15" hidden="false" customHeight="false" outlineLevel="0" collapsed="false">
      <c r="A166" s="24" t="str">
        <f aca="false">'Taxa de occisão'!A166</f>
        <v>São João da Madeira</v>
      </c>
      <c r="B166" s="24" t="n">
        <f aca="false">'Taxa de occisão'!B166</f>
        <v>20</v>
      </c>
      <c r="C166" s="24" t="n">
        <f aca="false">'Taxa de occisão'!C166</f>
        <v>0</v>
      </c>
      <c r="D166" s="17" t="n">
        <f aca="false">C166/B166</f>
        <v>0</v>
      </c>
      <c r="E166" s="5" t="n">
        <f aca="false">IF(B166&gt;=$Q$2,1,0)</f>
        <v>1</v>
      </c>
      <c r="F166" s="25" t="n">
        <f aca="false">IF(E166=1,(D166-$Q$4)/SQRT($Q$4*(1-$Q$4)/B166),"")</f>
        <v>-0.971599434088346</v>
      </c>
      <c r="G166" s="25" t="n">
        <f aca="false">IF(F166="","",MAX(MIN(F166,$Q$6),$Q$5))</f>
        <v>-0.971599434088346</v>
      </c>
      <c r="H166" s="25" t="n">
        <f aca="false">IF(F166="","",F166/SQRT($Q$7))</f>
        <v>-0.384827848133689</v>
      </c>
      <c r="I166" s="5" t="n">
        <f aca="false">IF(E166=1,B166/($Q$4*(1-$Q$4)),"")</f>
        <v>464.67036808546</v>
      </c>
      <c r="J166" s="5" t="n">
        <f aca="false">IF(E166=1,I166*(D166-$Q$4)^2,"")</f>
        <v>0.944005460320794</v>
      </c>
      <c r="K166" s="5" t="n">
        <f aca="false">IF(E166=1,I166^2,"")</f>
        <v>215918.550976677</v>
      </c>
      <c r="L166" s="25" t="n">
        <f aca="false">IF(E166=1,(D166-$Q$4)/SQRT($Q$4*(1-$Q$4)/B166+$Q$11),"")</f>
        <v>-0.646275130106137</v>
      </c>
      <c r="M166" s="26" t="n">
        <f aca="false">IF(H166="","",NORMSDIST(-H166))</f>
        <v>0.649817517370682</v>
      </c>
      <c r="N166" s="5" t="str">
        <f aca="false">IF(H166="","",IF(H166&gt;$Q$14,"Sim","Não"))</f>
        <v>Não</v>
      </c>
      <c r="O166" s="2"/>
      <c r="P166" s="2"/>
      <c r="Q166" s="2"/>
      <c r="R166" s="2"/>
      <c r="S166" s="2"/>
      <c r="T166" s="2"/>
      <c r="U166" s="2"/>
      <c r="V166" s="2"/>
      <c r="W166" s="2"/>
      <c r="X166" s="2"/>
    </row>
    <row r="167" customFormat="false" ht="15" hidden="false" customHeight="false" outlineLevel="0" collapsed="false">
      <c r="A167" s="24" t="str">
        <f aca="false">'Taxa de occisão'!A167</f>
        <v>Terras de Bouro</v>
      </c>
      <c r="B167" s="24" t="n">
        <f aca="false">'Taxa de occisão'!B167</f>
        <v>158</v>
      </c>
      <c r="C167" s="24" t="n">
        <f aca="false">'Taxa de occisão'!C167</f>
        <v>0</v>
      </c>
      <c r="D167" s="17" t="n">
        <f aca="false">C167/B167</f>
        <v>0</v>
      </c>
      <c r="E167" s="5" t="n">
        <f aca="false">IF(B167&gt;=$Q$2,1,0)</f>
        <v>1</v>
      </c>
      <c r="F167" s="25" t="n">
        <f aca="false">IF(E167=1,(D167-$Q$4)/SQRT($Q$4*(1-$Q$4)/B167),"")</f>
        <v>-2.73086856815451</v>
      </c>
      <c r="G167" s="25" t="n">
        <f aca="false">IF(F167="","",MAX(MIN(F167,$Q$6),$Q$5))</f>
        <v>-2.73086856815451</v>
      </c>
      <c r="H167" s="25" t="n">
        <f aca="false">IF(F167="","",F167/SQRT($Q$7))</f>
        <v>-1.08163327164235</v>
      </c>
      <c r="I167" s="5" t="n">
        <f aca="false">IF(E167=1,B167/($Q$4*(1-$Q$4)),"")</f>
        <v>3670.89590787513</v>
      </c>
      <c r="J167" s="5" t="n">
        <f aca="false">IF(E167=1,I167*(D167-$Q$4)^2,"")</f>
        <v>7.45764313653427</v>
      </c>
      <c r="K167" s="5" t="n">
        <f aca="false">IF(E167=1,I167^2,"")</f>
        <v>13475476.7664544</v>
      </c>
      <c r="L167" s="25" t="n">
        <f aca="false">IF(E167=1,(D167-$Q$4)/SQRT($Q$4*(1-$Q$4)/B167+$Q$11),"")</f>
        <v>-0.82506662769299</v>
      </c>
      <c r="M167" s="26" t="n">
        <f aca="false">IF(H167="","",NORMSDIST(-H167))</f>
        <v>0.860292242853445</v>
      </c>
      <c r="N167" s="5" t="str">
        <f aca="false">IF(H167="","",IF(H167&gt;$Q$14,"Sim","Não"))</f>
        <v>Não</v>
      </c>
      <c r="O167" s="2"/>
      <c r="P167" s="2"/>
      <c r="Q167" s="2"/>
      <c r="R167" s="2"/>
      <c r="S167" s="2"/>
      <c r="T167" s="2"/>
      <c r="U167" s="2"/>
      <c r="V167" s="2"/>
      <c r="W167" s="2"/>
      <c r="X167" s="2"/>
    </row>
    <row r="168" customFormat="false" ht="15" hidden="false" customHeight="false" outlineLevel="0" collapsed="false">
      <c r="A168" s="24" t="str">
        <f aca="false">'Taxa de occisão'!A168</f>
        <v>Vila Real de Santo António</v>
      </c>
      <c r="B168" s="24" t="n">
        <f aca="false">'Taxa de occisão'!B168</f>
        <v>293</v>
      </c>
      <c r="C168" s="24" t="n">
        <f aca="false">'Taxa de occisão'!C168</f>
        <v>0</v>
      </c>
      <c r="D168" s="17" t="n">
        <f aca="false">C168/B168</f>
        <v>0</v>
      </c>
      <c r="E168" s="5" t="n">
        <f aca="false">IF(B168&gt;=$Q$2,1,0)</f>
        <v>1</v>
      </c>
      <c r="F168" s="25" t="n">
        <f aca="false">IF(E168=1,(D168-$Q$4)/SQRT($Q$4*(1-$Q$4)/B168),"")</f>
        <v>-3.71882777144891</v>
      </c>
      <c r="G168" s="25" t="n">
        <f aca="false">IF(F168="","",MAX(MIN(F168,$Q$6),$Q$5))</f>
        <v>-3.58701204260275</v>
      </c>
      <c r="H168" s="25" t="n">
        <f aca="false">IF(F168="","",F168/SQRT($Q$7))</f>
        <v>-1.47294084234343</v>
      </c>
      <c r="I168" s="5" t="n">
        <f aca="false">IF(E168=1,B168/($Q$4*(1-$Q$4)),"")</f>
        <v>6807.42089245199</v>
      </c>
      <c r="J168" s="5" t="n">
        <f aca="false">IF(E168=1,I168*(D168-$Q$4)^2,"")</f>
        <v>13.8296799936996</v>
      </c>
      <c r="K168" s="5" t="n">
        <f aca="false">IF(E168=1,I168^2,"")</f>
        <v>46340979.2069918</v>
      </c>
      <c r="L168" s="25" t="n">
        <f aca="false">IF(E168=1,(D168-$Q$4)/SQRT($Q$4*(1-$Q$4)/B168+$Q$11),"")</f>
        <v>-0.842983902430795</v>
      </c>
      <c r="M168" s="26" t="n">
        <f aca="false">IF(H168="","",NORMSDIST(-H168))</f>
        <v>0.92961650603455</v>
      </c>
      <c r="N168" s="5" t="str">
        <f aca="false">IF(H168="","",IF(H168&gt;$Q$14,"Sim","Não"))</f>
        <v>Não</v>
      </c>
      <c r="O168" s="2"/>
      <c r="P168" s="2"/>
      <c r="Q168" s="2"/>
      <c r="R168" s="2"/>
      <c r="S168" s="2"/>
      <c r="T168" s="2"/>
      <c r="U168" s="2"/>
      <c r="V168" s="2"/>
      <c r="W168" s="2"/>
      <c r="X168" s="2"/>
    </row>
    <row r="169" customFormat="false" ht="15" hidden="false" customHeight="false" outlineLevel="0" collapsed="false">
      <c r="A169" s="24" t="str">
        <f aca="false">'Taxa de occisão'!A169</f>
        <v>Vila do Conde</v>
      </c>
      <c r="B169" s="24" t="n">
        <f aca="false">'Taxa de occisão'!B169</f>
        <v>280</v>
      </c>
      <c r="C169" s="24" t="n">
        <f aca="false">'Taxa de occisão'!C169</f>
        <v>0</v>
      </c>
      <c r="D169" s="17" t="n">
        <f aca="false">C169/B169</f>
        <v>0</v>
      </c>
      <c r="E169" s="5" t="n">
        <f aca="false">IF(B169&gt;=$Q$2,1,0)</f>
        <v>1</v>
      </c>
      <c r="F169" s="25" t="n">
        <f aca="false">IF(E169=1,(D169-$Q$4)/SQRT($Q$4*(1-$Q$4)/B169),"")</f>
        <v>-3.63539219954204</v>
      </c>
      <c r="G169" s="25" t="n">
        <f aca="false">IF(F169="","",MAX(MIN(F169,$Q$6),$Q$5))</f>
        <v>-3.58701204260275</v>
      </c>
      <c r="H169" s="25" t="n">
        <f aca="false">IF(F169="","",F169/SQRT($Q$7))</f>
        <v>-1.43989396060574</v>
      </c>
      <c r="I169" s="5" t="n">
        <f aca="false">IF(E169=1,B169/($Q$4*(1-$Q$4)),"")</f>
        <v>6505.38515319644</v>
      </c>
      <c r="J169" s="5" t="n">
        <f aca="false">IF(E169=1,I169*(D169-$Q$4)^2,"")</f>
        <v>13.2160764444911</v>
      </c>
      <c r="K169" s="5" t="n">
        <f aca="false">IF(E169=1,I169^2,"")</f>
        <v>42320035.9914286</v>
      </c>
      <c r="L169" s="25" t="n">
        <f aca="false">IF(E169=1,(D169-$Q$4)/SQRT($Q$4*(1-$Q$4)/B169+$Q$11),"")</f>
        <v>-0.841980154132501</v>
      </c>
      <c r="M169" s="26" t="n">
        <f aca="false">IF(H169="","",NORMSDIST(-H169))</f>
        <v>0.925051298991368</v>
      </c>
      <c r="N169" s="5" t="str">
        <f aca="false">IF(H169="","",IF(H169&gt;$Q$14,"Sim","Não"))</f>
        <v>Não</v>
      </c>
      <c r="O169" s="2"/>
      <c r="P169" s="2"/>
      <c r="Q169" s="2"/>
      <c r="R169" s="2"/>
      <c r="S169" s="2"/>
      <c r="T169" s="2"/>
      <c r="U169" s="2"/>
      <c r="V169" s="2"/>
      <c r="W169" s="2"/>
      <c r="X169" s="2"/>
    </row>
  </sheetData>
  <mergeCells count="8">
    <mergeCell ref="P65:Q65"/>
    <mergeCell ref="P66:Q66"/>
    <mergeCell ref="P67:Q67"/>
    <mergeCell ref="P68:Q68"/>
    <mergeCell ref="P69:Q69"/>
    <mergeCell ref="P70:Q70"/>
    <mergeCell ref="P71:Q71"/>
    <mergeCell ref="P72:Q7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4" min="4" style="0" width="32"/>
    <col collapsed="false" customWidth="true" hidden="false" outlineLevel="0" max="5" min="5" style="0" width="14"/>
  </cols>
  <sheetData>
    <row r="1" customFormat="false" ht="15" hidden="false" customHeight="false" outlineLevel="0" collapsed="false">
      <c r="A1" s="38" t="s">
        <v>267</v>
      </c>
      <c r="B1" s="38" t="s">
        <v>268</v>
      </c>
      <c r="C1" s="2"/>
      <c r="D1" s="38" t="s">
        <v>217</v>
      </c>
      <c r="E1" s="2"/>
    </row>
    <row r="2" customFormat="false" ht="15" hidden="false" customHeight="false" outlineLevel="0" collapsed="false">
      <c r="A2" s="2" t="n">
        <v>0</v>
      </c>
      <c r="B2" s="39" t="n">
        <f aca="false">IF(AND(A2&gt;=$E$3,A2&lt;=$E$2),BINOMDIST(A2,$E$2,$E$4,FALSE()),0)</f>
        <v>0</v>
      </c>
      <c r="C2" s="2"/>
      <c r="D2" s="2" t="s">
        <v>269</v>
      </c>
      <c r="E2" s="2" t="n">
        <f aca="false">'Teste estatístico'!B2</f>
        <v>260</v>
      </c>
    </row>
    <row r="3" customFormat="false" ht="15" hidden="false" customHeight="false" outlineLevel="0" collapsed="false">
      <c r="A3" s="2" t="n">
        <v>1</v>
      </c>
      <c r="B3" s="39" t="n">
        <f aca="false">IF(AND(A3&gt;=$E$3,A3&lt;=$E$2),BINOMDIST(A3,$E$2,$E$4,FALSE()),0)</f>
        <v>0</v>
      </c>
      <c r="C3" s="2"/>
      <c r="D3" s="2" t="s">
        <v>270</v>
      </c>
      <c r="E3" s="2" t="n">
        <f aca="false">'Teste estatístico'!C2</f>
        <v>79</v>
      </c>
    </row>
    <row r="4" customFormat="false" ht="15" hidden="false" customHeight="false" outlineLevel="0" collapsed="false">
      <c r="A4" s="2" t="n">
        <v>2</v>
      </c>
      <c r="B4" s="39" t="n">
        <f aca="false">IF(AND(A4&gt;=$E$3,A4&lt;=$E$2),BINOMDIST(A4,$E$2,$E$4,FALSE()),0)</f>
        <v>0</v>
      </c>
      <c r="C4" s="2"/>
      <c r="D4" s="2" t="s">
        <v>271</v>
      </c>
      <c r="E4" s="40" t="n">
        <f aca="false">'Teste estatístico'!Q4</f>
        <v>0.0450728234438846</v>
      </c>
    </row>
    <row r="5" customFormat="false" ht="15" hidden="false" customHeight="false" outlineLevel="0" collapsed="false">
      <c r="A5" s="2" t="n">
        <v>3</v>
      </c>
      <c r="B5" s="39" t="n">
        <f aca="false">IF(AND(A5&gt;=$E$3,A5&lt;=$E$2),BINOMDIST(A5,$E$2,$E$4,FALSE()),0)</f>
        <v>0</v>
      </c>
      <c r="C5" s="2"/>
      <c r="D5" s="2"/>
      <c r="E5" s="2"/>
    </row>
    <row r="6" customFormat="false" ht="15" hidden="false" customHeight="false" outlineLevel="0" collapsed="false">
      <c r="A6" s="2" t="n">
        <v>4</v>
      </c>
      <c r="B6" s="39" t="n">
        <f aca="false">IF(AND(A6&gt;=$E$3,A6&lt;=$E$2),BINOMDIST(A6,$E$2,$E$4,FALSE()),0)</f>
        <v>0</v>
      </c>
      <c r="C6" s="2"/>
      <c r="D6" s="2" t="s">
        <v>272</v>
      </c>
      <c r="E6" s="41" t="n">
        <f aca="false">SUM(B2:B402)</f>
        <v>1.42479534122494E-042</v>
      </c>
    </row>
    <row r="7" customFormat="false" ht="15" hidden="false" customHeight="false" outlineLevel="0" collapsed="false">
      <c r="A7" s="2" t="n">
        <v>5</v>
      </c>
      <c r="B7" s="39" t="n">
        <f aca="false">IF(AND(A7&gt;=$E$3,A7&lt;=$E$2),BINOMDIST(A7,$E$2,$E$4,FALSE()),0)</f>
        <v>0</v>
      </c>
      <c r="C7" s="2"/>
      <c r="D7" s="2"/>
      <c r="E7" s="2"/>
    </row>
    <row r="8" customFormat="false" ht="15" hidden="false" customHeight="false" outlineLevel="0" collapsed="false">
      <c r="A8" s="2" t="n">
        <v>6</v>
      </c>
      <c r="B8" s="39" t="n">
        <f aca="false">IF(AND(A8&gt;=$E$3,A8&lt;=$E$2),BINOMDIST(A8,$E$2,$E$4,FALSE()),0)</f>
        <v>0</v>
      </c>
      <c r="C8" s="2"/>
      <c r="D8" s="2" t="s">
        <v>273</v>
      </c>
      <c r="E8" s="2"/>
    </row>
    <row r="9" customFormat="false" ht="15" hidden="false" customHeight="false" outlineLevel="0" collapsed="false">
      <c r="A9" s="2" t="n">
        <v>7</v>
      </c>
      <c r="B9" s="39" t="n">
        <f aca="false">IF(AND(A9&gt;=$E$3,A9&lt;=$E$2),BINOMDIST(A9,$E$2,$E$4,FALSE()),0)</f>
        <v>0</v>
      </c>
      <c r="C9" s="2"/>
      <c r="D9" s="2"/>
      <c r="E9" s="2"/>
    </row>
    <row r="10" customFormat="false" ht="15" hidden="false" customHeight="false" outlineLevel="0" collapsed="false">
      <c r="A10" s="2" t="n">
        <v>8</v>
      </c>
      <c r="B10" s="39" t="n">
        <f aca="false">IF(AND(A10&gt;=$E$3,A10&lt;=$E$2),BINOMDIST(A10,$E$2,$E$4,FALSE()),0)</f>
        <v>0</v>
      </c>
      <c r="C10" s="2"/>
      <c r="D10" s="2"/>
      <c r="E10" s="2"/>
    </row>
    <row r="11" customFormat="false" ht="15" hidden="false" customHeight="false" outlineLevel="0" collapsed="false">
      <c r="A11" s="2" t="n">
        <v>9</v>
      </c>
      <c r="B11" s="39" t="n">
        <f aca="false">IF(AND(A11&gt;=$E$3,A11&lt;=$E$2),BINOMDIST(A11,$E$2,$E$4,FALSE()),0)</f>
        <v>0</v>
      </c>
      <c r="C11" s="2"/>
      <c r="D11" s="2"/>
      <c r="E11" s="2"/>
    </row>
    <row r="12" customFormat="false" ht="15" hidden="false" customHeight="false" outlineLevel="0" collapsed="false">
      <c r="A12" s="2" t="n">
        <v>10</v>
      </c>
      <c r="B12" s="39" t="n">
        <f aca="false">IF(AND(A12&gt;=$E$3,A12&lt;=$E$2),BINOMDIST(A12,$E$2,$E$4,FALSE()),0)</f>
        <v>0</v>
      </c>
      <c r="C12" s="2"/>
      <c r="D12" s="2"/>
      <c r="E12" s="2"/>
    </row>
    <row r="13" customFormat="false" ht="15" hidden="false" customHeight="false" outlineLevel="0" collapsed="false">
      <c r="A13" s="2" t="n">
        <v>11</v>
      </c>
      <c r="B13" s="39" t="n">
        <f aca="false">IF(AND(A13&gt;=$E$3,A13&lt;=$E$2),BINOMDIST(A13,$E$2,$E$4,FALSE()),0)</f>
        <v>0</v>
      </c>
      <c r="C13" s="2"/>
      <c r="D13" s="2"/>
      <c r="E13" s="2"/>
    </row>
    <row r="14" customFormat="false" ht="15" hidden="false" customHeight="false" outlineLevel="0" collapsed="false">
      <c r="A14" s="2" t="n">
        <v>12</v>
      </c>
      <c r="B14" s="39" t="n">
        <f aca="false">IF(AND(A14&gt;=$E$3,A14&lt;=$E$2),BINOMDIST(A14,$E$2,$E$4,FALSE()),0)</f>
        <v>0</v>
      </c>
      <c r="C14" s="2"/>
      <c r="D14" s="2"/>
      <c r="E14" s="2"/>
    </row>
    <row r="15" customFormat="false" ht="15" hidden="false" customHeight="false" outlineLevel="0" collapsed="false">
      <c r="A15" s="2" t="n">
        <v>13</v>
      </c>
      <c r="B15" s="39" t="n">
        <f aca="false">IF(AND(A15&gt;=$E$3,A15&lt;=$E$2),BINOMDIST(A15,$E$2,$E$4,FALSE()),0)</f>
        <v>0</v>
      </c>
      <c r="C15" s="2"/>
      <c r="D15" s="2"/>
      <c r="E15" s="2"/>
    </row>
    <row r="16" customFormat="false" ht="15" hidden="false" customHeight="false" outlineLevel="0" collapsed="false">
      <c r="A16" s="2" t="n">
        <v>14</v>
      </c>
      <c r="B16" s="39" t="n">
        <f aca="false">IF(AND(A16&gt;=$E$3,A16&lt;=$E$2),BINOMDIST(A16,$E$2,$E$4,FALSE()),0)</f>
        <v>0</v>
      </c>
      <c r="C16" s="2"/>
      <c r="D16" s="2"/>
      <c r="E16" s="2"/>
    </row>
    <row r="17" customFormat="false" ht="15" hidden="false" customHeight="false" outlineLevel="0" collapsed="false">
      <c r="A17" s="2" t="n">
        <v>15</v>
      </c>
      <c r="B17" s="39" t="n">
        <f aca="false">IF(AND(A17&gt;=$E$3,A17&lt;=$E$2),BINOMDIST(A17,$E$2,$E$4,FALSE()),0)</f>
        <v>0</v>
      </c>
      <c r="C17" s="2"/>
      <c r="D17" s="2"/>
      <c r="E17" s="2"/>
    </row>
    <row r="18" customFormat="false" ht="15" hidden="false" customHeight="false" outlineLevel="0" collapsed="false">
      <c r="A18" s="2" t="n">
        <v>16</v>
      </c>
      <c r="B18" s="39" t="n">
        <f aca="false">IF(AND(A18&gt;=$E$3,A18&lt;=$E$2),BINOMDIST(A18,$E$2,$E$4,FALSE()),0)</f>
        <v>0</v>
      </c>
      <c r="C18" s="2"/>
      <c r="D18" s="2"/>
      <c r="E18" s="2"/>
    </row>
    <row r="19" customFormat="false" ht="15" hidden="false" customHeight="false" outlineLevel="0" collapsed="false">
      <c r="A19" s="2" t="n">
        <v>17</v>
      </c>
      <c r="B19" s="39" t="n">
        <f aca="false">IF(AND(A19&gt;=$E$3,A19&lt;=$E$2),BINOMDIST(A19,$E$2,$E$4,FALSE()),0)</f>
        <v>0</v>
      </c>
      <c r="C19" s="2"/>
      <c r="D19" s="2"/>
      <c r="E19" s="2"/>
    </row>
    <row r="20" customFormat="false" ht="15" hidden="false" customHeight="false" outlineLevel="0" collapsed="false">
      <c r="A20" s="2" t="n">
        <v>18</v>
      </c>
      <c r="B20" s="39" t="n">
        <f aca="false">IF(AND(A20&gt;=$E$3,A20&lt;=$E$2),BINOMDIST(A20,$E$2,$E$4,FALSE()),0)</f>
        <v>0</v>
      </c>
      <c r="C20" s="2"/>
      <c r="D20" s="2"/>
      <c r="E20" s="2"/>
    </row>
    <row r="21" customFormat="false" ht="15" hidden="false" customHeight="false" outlineLevel="0" collapsed="false">
      <c r="A21" s="2" t="n">
        <v>19</v>
      </c>
      <c r="B21" s="39" t="n">
        <f aca="false">IF(AND(A21&gt;=$E$3,A21&lt;=$E$2),BINOMDIST(A21,$E$2,$E$4,FALSE()),0)</f>
        <v>0</v>
      </c>
      <c r="C21" s="2"/>
      <c r="D21" s="2"/>
      <c r="E21" s="2"/>
    </row>
    <row r="22" customFormat="false" ht="15" hidden="false" customHeight="false" outlineLevel="0" collapsed="false">
      <c r="A22" s="2" t="n">
        <v>20</v>
      </c>
      <c r="B22" s="39" t="n">
        <f aca="false">IF(AND(A22&gt;=$E$3,A22&lt;=$E$2),BINOMDIST(A22,$E$2,$E$4,FALSE()),0)</f>
        <v>0</v>
      </c>
      <c r="C22" s="2"/>
      <c r="D22" s="2"/>
      <c r="E22" s="2"/>
    </row>
    <row r="23" customFormat="false" ht="15" hidden="false" customHeight="false" outlineLevel="0" collapsed="false">
      <c r="A23" s="2" t="n">
        <v>21</v>
      </c>
      <c r="B23" s="39" t="n">
        <f aca="false">IF(AND(A23&gt;=$E$3,A23&lt;=$E$2),BINOMDIST(A23,$E$2,$E$4,FALSE()),0)</f>
        <v>0</v>
      </c>
      <c r="C23" s="2"/>
      <c r="D23" s="2"/>
      <c r="E23" s="2"/>
    </row>
    <row r="24" customFormat="false" ht="15" hidden="false" customHeight="false" outlineLevel="0" collapsed="false">
      <c r="A24" s="2" t="n">
        <v>22</v>
      </c>
      <c r="B24" s="39" t="n">
        <f aca="false">IF(AND(A24&gt;=$E$3,A24&lt;=$E$2),BINOMDIST(A24,$E$2,$E$4,FALSE()),0)</f>
        <v>0</v>
      </c>
      <c r="C24" s="2"/>
      <c r="D24" s="2"/>
      <c r="E24" s="2"/>
    </row>
    <row r="25" customFormat="false" ht="15" hidden="false" customHeight="false" outlineLevel="0" collapsed="false">
      <c r="A25" s="2" t="n">
        <v>23</v>
      </c>
      <c r="B25" s="39" t="n">
        <f aca="false">IF(AND(A25&gt;=$E$3,A25&lt;=$E$2),BINOMDIST(A25,$E$2,$E$4,FALSE()),0)</f>
        <v>0</v>
      </c>
      <c r="C25" s="2"/>
      <c r="D25" s="2"/>
      <c r="E25" s="2"/>
    </row>
    <row r="26" customFormat="false" ht="15" hidden="false" customHeight="false" outlineLevel="0" collapsed="false">
      <c r="A26" s="2" t="n">
        <v>24</v>
      </c>
      <c r="B26" s="39" t="n">
        <f aca="false">IF(AND(A26&gt;=$E$3,A26&lt;=$E$2),BINOMDIST(A26,$E$2,$E$4,FALSE()),0)</f>
        <v>0</v>
      </c>
      <c r="C26" s="2"/>
      <c r="D26" s="2"/>
      <c r="E26" s="2"/>
    </row>
    <row r="27" customFormat="false" ht="15" hidden="false" customHeight="false" outlineLevel="0" collapsed="false">
      <c r="A27" s="2" t="n">
        <v>25</v>
      </c>
      <c r="B27" s="39" t="n">
        <f aca="false">IF(AND(A27&gt;=$E$3,A27&lt;=$E$2),BINOMDIST(A27,$E$2,$E$4,FALSE()),0)</f>
        <v>0</v>
      </c>
      <c r="C27" s="2"/>
      <c r="D27" s="2"/>
      <c r="E27" s="2"/>
    </row>
    <row r="28" customFormat="false" ht="15" hidden="false" customHeight="false" outlineLevel="0" collapsed="false">
      <c r="A28" s="2" t="n">
        <v>26</v>
      </c>
      <c r="B28" s="39" t="n">
        <f aca="false">IF(AND(A28&gt;=$E$3,A28&lt;=$E$2),BINOMDIST(A28,$E$2,$E$4,FALSE()),0)</f>
        <v>0</v>
      </c>
      <c r="C28" s="2"/>
      <c r="D28" s="2"/>
      <c r="E28" s="2"/>
    </row>
    <row r="29" customFormat="false" ht="15" hidden="false" customHeight="false" outlineLevel="0" collapsed="false">
      <c r="A29" s="2" t="n">
        <v>27</v>
      </c>
      <c r="B29" s="39" t="n">
        <f aca="false">IF(AND(A29&gt;=$E$3,A29&lt;=$E$2),BINOMDIST(A29,$E$2,$E$4,FALSE()),0)</f>
        <v>0</v>
      </c>
      <c r="C29" s="2"/>
      <c r="D29" s="2"/>
      <c r="E29" s="2"/>
    </row>
    <row r="30" customFormat="false" ht="15" hidden="false" customHeight="false" outlineLevel="0" collapsed="false">
      <c r="A30" s="2" t="n">
        <v>28</v>
      </c>
      <c r="B30" s="39" t="n">
        <f aca="false">IF(AND(A30&gt;=$E$3,A30&lt;=$E$2),BINOMDIST(A30,$E$2,$E$4,FALSE()),0)</f>
        <v>0</v>
      </c>
      <c r="C30" s="2"/>
      <c r="D30" s="2"/>
      <c r="E30" s="2"/>
    </row>
    <row r="31" customFormat="false" ht="15" hidden="false" customHeight="false" outlineLevel="0" collapsed="false">
      <c r="A31" s="2" t="n">
        <v>29</v>
      </c>
      <c r="B31" s="39" t="n">
        <f aca="false">IF(AND(A31&gt;=$E$3,A31&lt;=$E$2),BINOMDIST(A31,$E$2,$E$4,FALSE()),0)</f>
        <v>0</v>
      </c>
      <c r="C31" s="2"/>
      <c r="D31" s="2"/>
      <c r="E31" s="2"/>
    </row>
    <row r="32" customFormat="false" ht="15" hidden="false" customHeight="false" outlineLevel="0" collapsed="false">
      <c r="A32" s="2" t="n">
        <v>30</v>
      </c>
      <c r="B32" s="39" t="n">
        <f aca="false">IF(AND(A32&gt;=$E$3,A32&lt;=$E$2),BINOMDIST(A32,$E$2,$E$4,FALSE()),0)</f>
        <v>0</v>
      </c>
      <c r="C32" s="2"/>
      <c r="D32" s="2"/>
      <c r="E32" s="2"/>
    </row>
    <row r="33" customFormat="false" ht="15" hidden="false" customHeight="false" outlineLevel="0" collapsed="false">
      <c r="A33" s="2" t="n">
        <v>31</v>
      </c>
      <c r="B33" s="39" t="n">
        <f aca="false">IF(AND(A33&gt;=$E$3,A33&lt;=$E$2),BINOMDIST(A33,$E$2,$E$4,FALSE()),0)</f>
        <v>0</v>
      </c>
      <c r="C33" s="2"/>
      <c r="D33" s="2"/>
      <c r="E33" s="2"/>
    </row>
    <row r="34" customFormat="false" ht="15" hidden="false" customHeight="false" outlineLevel="0" collapsed="false">
      <c r="A34" s="2" t="n">
        <v>32</v>
      </c>
      <c r="B34" s="39" t="n">
        <f aca="false">IF(AND(A34&gt;=$E$3,A34&lt;=$E$2),BINOMDIST(A34,$E$2,$E$4,FALSE()),0)</f>
        <v>0</v>
      </c>
      <c r="C34" s="2"/>
      <c r="D34" s="2"/>
      <c r="E34" s="2"/>
    </row>
    <row r="35" customFormat="false" ht="15" hidden="false" customHeight="false" outlineLevel="0" collapsed="false">
      <c r="A35" s="2" t="n">
        <v>33</v>
      </c>
      <c r="B35" s="39" t="n">
        <f aca="false">IF(AND(A35&gt;=$E$3,A35&lt;=$E$2),BINOMDIST(A35,$E$2,$E$4,FALSE()),0)</f>
        <v>0</v>
      </c>
      <c r="C35" s="2"/>
      <c r="D35" s="2"/>
      <c r="E35" s="2"/>
    </row>
    <row r="36" customFormat="false" ht="15" hidden="false" customHeight="false" outlineLevel="0" collapsed="false">
      <c r="A36" s="2" t="n">
        <v>34</v>
      </c>
      <c r="B36" s="39" t="n">
        <f aca="false">IF(AND(A36&gt;=$E$3,A36&lt;=$E$2),BINOMDIST(A36,$E$2,$E$4,FALSE()),0)</f>
        <v>0</v>
      </c>
      <c r="C36" s="2"/>
      <c r="D36" s="2"/>
      <c r="E36" s="2"/>
    </row>
    <row r="37" customFormat="false" ht="15" hidden="false" customHeight="false" outlineLevel="0" collapsed="false">
      <c r="A37" s="2" t="n">
        <v>35</v>
      </c>
      <c r="B37" s="39" t="n">
        <f aca="false">IF(AND(A37&gt;=$E$3,A37&lt;=$E$2),BINOMDIST(A37,$E$2,$E$4,FALSE()),0)</f>
        <v>0</v>
      </c>
      <c r="C37" s="2"/>
      <c r="D37" s="2"/>
      <c r="E37" s="2"/>
    </row>
    <row r="38" customFormat="false" ht="15" hidden="false" customHeight="false" outlineLevel="0" collapsed="false">
      <c r="A38" s="2" t="n">
        <v>36</v>
      </c>
      <c r="B38" s="39" t="n">
        <f aca="false">IF(AND(A38&gt;=$E$3,A38&lt;=$E$2),BINOMDIST(A38,$E$2,$E$4,FALSE()),0)</f>
        <v>0</v>
      </c>
      <c r="C38" s="2"/>
      <c r="D38" s="2"/>
      <c r="E38" s="2"/>
    </row>
    <row r="39" customFormat="false" ht="15" hidden="false" customHeight="false" outlineLevel="0" collapsed="false">
      <c r="A39" s="2" t="n">
        <v>37</v>
      </c>
      <c r="B39" s="39" t="n">
        <f aca="false">IF(AND(A39&gt;=$E$3,A39&lt;=$E$2),BINOMDIST(A39,$E$2,$E$4,FALSE()),0)</f>
        <v>0</v>
      </c>
      <c r="C39" s="2"/>
      <c r="D39" s="2"/>
      <c r="E39" s="2"/>
    </row>
    <row r="40" customFormat="false" ht="15" hidden="false" customHeight="false" outlineLevel="0" collapsed="false">
      <c r="A40" s="2" t="n">
        <v>38</v>
      </c>
      <c r="B40" s="39" t="n">
        <f aca="false">IF(AND(A40&gt;=$E$3,A40&lt;=$E$2),BINOMDIST(A40,$E$2,$E$4,FALSE()),0)</f>
        <v>0</v>
      </c>
      <c r="C40" s="2"/>
      <c r="D40" s="2"/>
      <c r="E40" s="2"/>
    </row>
    <row r="41" customFormat="false" ht="15" hidden="false" customHeight="false" outlineLevel="0" collapsed="false">
      <c r="A41" s="2" t="n">
        <v>39</v>
      </c>
      <c r="B41" s="39" t="n">
        <f aca="false">IF(AND(A41&gt;=$E$3,A41&lt;=$E$2),BINOMDIST(A41,$E$2,$E$4,FALSE()),0)</f>
        <v>0</v>
      </c>
      <c r="C41" s="2"/>
      <c r="D41" s="2"/>
      <c r="E41" s="2"/>
    </row>
    <row r="42" customFormat="false" ht="15" hidden="false" customHeight="false" outlineLevel="0" collapsed="false">
      <c r="A42" s="2" t="n">
        <v>40</v>
      </c>
      <c r="B42" s="39" t="n">
        <f aca="false">IF(AND(A42&gt;=$E$3,A42&lt;=$E$2),BINOMDIST(A42,$E$2,$E$4,FALSE()),0)</f>
        <v>0</v>
      </c>
      <c r="C42" s="2"/>
      <c r="D42" s="2"/>
      <c r="E42" s="2"/>
    </row>
    <row r="43" customFormat="false" ht="15" hidden="false" customHeight="false" outlineLevel="0" collapsed="false">
      <c r="A43" s="2" t="n">
        <v>41</v>
      </c>
      <c r="B43" s="39" t="n">
        <f aca="false">IF(AND(A43&gt;=$E$3,A43&lt;=$E$2),BINOMDIST(A43,$E$2,$E$4,FALSE()),0)</f>
        <v>0</v>
      </c>
      <c r="C43" s="2"/>
      <c r="D43" s="2"/>
      <c r="E43" s="2"/>
    </row>
    <row r="44" customFormat="false" ht="15" hidden="false" customHeight="false" outlineLevel="0" collapsed="false">
      <c r="A44" s="2" t="n">
        <v>42</v>
      </c>
      <c r="B44" s="39" t="n">
        <f aca="false">IF(AND(A44&gt;=$E$3,A44&lt;=$E$2),BINOMDIST(A44,$E$2,$E$4,FALSE()),0)</f>
        <v>0</v>
      </c>
      <c r="C44" s="2"/>
      <c r="D44" s="2"/>
      <c r="E44" s="2"/>
    </row>
    <row r="45" customFormat="false" ht="15" hidden="false" customHeight="false" outlineLevel="0" collapsed="false">
      <c r="A45" s="2" t="n">
        <v>43</v>
      </c>
      <c r="B45" s="39" t="n">
        <f aca="false">IF(AND(A45&gt;=$E$3,A45&lt;=$E$2),BINOMDIST(A45,$E$2,$E$4,FALSE()),0)</f>
        <v>0</v>
      </c>
      <c r="C45" s="2"/>
      <c r="D45" s="2"/>
      <c r="E45" s="2"/>
    </row>
    <row r="46" customFormat="false" ht="15" hidden="false" customHeight="false" outlineLevel="0" collapsed="false">
      <c r="A46" s="2" t="n">
        <v>44</v>
      </c>
      <c r="B46" s="39" t="n">
        <f aca="false">IF(AND(A46&gt;=$E$3,A46&lt;=$E$2),BINOMDIST(A46,$E$2,$E$4,FALSE()),0)</f>
        <v>0</v>
      </c>
      <c r="C46" s="2"/>
      <c r="D46" s="2"/>
      <c r="E46" s="2"/>
    </row>
    <row r="47" customFormat="false" ht="15" hidden="false" customHeight="false" outlineLevel="0" collapsed="false">
      <c r="A47" s="2" t="n">
        <v>45</v>
      </c>
      <c r="B47" s="39" t="n">
        <f aca="false">IF(AND(A47&gt;=$E$3,A47&lt;=$E$2),BINOMDIST(A47,$E$2,$E$4,FALSE()),0)</f>
        <v>0</v>
      </c>
      <c r="C47" s="2"/>
      <c r="D47" s="2"/>
      <c r="E47" s="2"/>
    </row>
    <row r="48" customFormat="false" ht="15" hidden="false" customHeight="false" outlineLevel="0" collapsed="false">
      <c r="A48" s="2" t="n">
        <v>46</v>
      </c>
      <c r="B48" s="39" t="n">
        <f aca="false">IF(AND(A48&gt;=$E$3,A48&lt;=$E$2),BINOMDIST(A48,$E$2,$E$4,FALSE()),0)</f>
        <v>0</v>
      </c>
      <c r="C48" s="2"/>
      <c r="D48" s="2"/>
      <c r="E48" s="2"/>
    </row>
    <row r="49" customFormat="false" ht="15" hidden="false" customHeight="false" outlineLevel="0" collapsed="false">
      <c r="A49" s="2" t="n">
        <v>47</v>
      </c>
      <c r="B49" s="39" t="n">
        <f aca="false">IF(AND(A49&gt;=$E$3,A49&lt;=$E$2),BINOMDIST(A49,$E$2,$E$4,FALSE()),0)</f>
        <v>0</v>
      </c>
      <c r="C49" s="2"/>
      <c r="D49" s="2"/>
      <c r="E49" s="2"/>
    </row>
    <row r="50" customFormat="false" ht="15" hidden="false" customHeight="false" outlineLevel="0" collapsed="false">
      <c r="A50" s="2" t="n">
        <v>48</v>
      </c>
      <c r="B50" s="39" t="n">
        <f aca="false">IF(AND(A50&gt;=$E$3,A50&lt;=$E$2),BINOMDIST(A50,$E$2,$E$4,FALSE()),0)</f>
        <v>0</v>
      </c>
      <c r="C50" s="2"/>
      <c r="D50" s="2"/>
      <c r="E50" s="2"/>
    </row>
    <row r="51" customFormat="false" ht="15" hidden="false" customHeight="false" outlineLevel="0" collapsed="false">
      <c r="A51" s="2" t="n">
        <v>49</v>
      </c>
      <c r="B51" s="39" t="n">
        <f aca="false">IF(AND(A51&gt;=$E$3,A51&lt;=$E$2),BINOMDIST(A51,$E$2,$E$4,FALSE()),0)</f>
        <v>0</v>
      </c>
      <c r="C51" s="2"/>
      <c r="D51" s="2"/>
      <c r="E51" s="2"/>
    </row>
    <row r="52" customFormat="false" ht="15" hidden="false" customHeight="false" outlineLevel="0" collapsed="false">
      <c r="A52" s="2" t="n">
        <v>50</v>
      </c>
      <c r="B52" s="39" t="n">
        <f aca="false">IF(AND(A52&gt;=$E$3,A52&lt;=$E$2),BINOMDIST(A52,$E$2,$E$4,FALSE()),0)</f>
        <v>0</v>
      </c>
      <c r="C52" s="2"/>
      <c r="D52" s="2"/>
      <c r="E52" s="2"/>
    </row>
    <row r="53" customFormat="false" ht="15" hidden="false" customHeight="false" outlineLevel="0" collapsed="false">
      <c r="A53" s="2" t="n">
        <v>51</v>
      </c>
      <c r="B53" s="39" t="n">
        <f aca="false">IF(AND(A53&gt;=$E$3,A53&lt;=$E$2),BINOMDIST(A53,$E$2,$E$4,FALSE()),0)</f>
        <v>0</v>
      </c>
      <c r="C53" s="2"/>
      <c r="D53" s="2"/>
      <c r="E53" s="2"/>
    </row>
    <row r="54" customFormat="false" ht="15" hidden="false" customHeight="false" outlineLevel="0" collapsed="false">
      <c r="A54" s="2" t="n">
        <v>52</v>
      </c>
      <c r="B54" s="39" t="n">
        <f aca="false">IF(AND(A54&gt;=$E$3,A54&lt;=$E$2),BINOMDIST(A54,$E$2,$E$4,FALSE()),0)</f>
        <v>0</v>
      </c>
      <c r="C54" s="2"/>
      <c r="D54" s="2"/>
      <c r="E54" s="2"/>
    </row>
    <row r="55" customFormat="false" ht="15" hidden="false" customHeight="false" outlineLevel="0" collapsed="false">
      <c r="A55" s="2" t="n">
        <v>53</v>
      </c>
      <c r="B55" s="39" t="n">
        <f aca="false">IF(AND(A55&gt;=$E$3,A55&lt;=$E$2),BINOMDIST(A55,$E$2,$E$4,FALSE()),0)</f>
        <v>0</v>
      </c>
      <c r="C55" s="2"/>
      <c r="D55" s="2"/>
      <c r="E55" s="2"/>
    </row>
    <row r="56" customFormat="false" ht="15" hidden="false" customHeight="false" outlineLevel="0" collapsed="false">
      <c r="A56" s="2" t="n">
        <v>54</v>
      </c>
      <c r="B56" s="39" t="n">
        <f aca="false">IF(AND(A56&gt;=$E$3,A56&lt;=$E$2),BINOMDIST(A56,$E$2,$E$4,FALSE()),0)</f>
        <v>0</v>
      </c>
      <c r="C56" s="2"/>
      <c r="D56" s="2"/>
      <c r="E56" s="2"/>
    </row>
    <row r="57" customFormat="false" ht="15" hidden="false" customHeight="false" outlineLevel="0" collapsed="false">
      <c r="A57" s="2" t="n">
        <v>55</v>
      </c>
      <c r="B57" s="39" t="n">
        <f aca="false">IF(AND(A57&gt;=$E$3,A57&lt;=$E$2),BINOMDIST(A57,$E$2,$E$4,FALSE()),0)</f>
        <v>0</v>
      </c>
      <c r="C57" s="2"/>
      <c r="D57" s="2"/>
      <c r="E57" s="2"/>
    </row>
    <row r="58" customFormat="false" ht="15" hidden="false" customHeight="false" outlineLevel="0" collapsed="false">
      <c r="A58" s="2" t="n">
        <v>56</v>
      </c>
      <c r="B58" s="39" t="n">
        <f aca="false">IF(AND(A58&gt;=$E$3,A58&lt;=$E$2),BINOMDIST(A58,$E$2,$E$4,FALSE()),0)</f>
        <v>0</v>
      </c>
      <c r="C58" s="2"/>
      <c r="D58" s="2"/>
      <c r="E58" s="2"/>
    </row>
    <row r="59" customFormat="false" ht="15" hidden="false" customHeight="false" outlineLevel="0" collapsed="false">
      <c r="A59" s="2" t="n">
        <v>57</v>
      </c>
      <c r="B59" s="39" t="n">
        <f aca="false">IF(AND(A59&gt;=$E$3,A59&lt;=$E$2),BINOMDIST(A59,$E$2,$E$4,FALSE()),0)</f>
        <v>0</v>
      </c>
      <c r="C59" s="2"/>
      <c r="D59" s="2"/>
      <c r="E59" s="2"/>
    </row>
    <row r="60" customFormat="false" ht="15" hidden="false" customHeight="false" outlineLevel="0" collapsed="false">
      <c r="A60" s="2" t="n">
        <v>58</v>
      </c>
      <c r="B60" s="39" t="n">
        <f aca="false">IF(AND(A60&gt;=$E$3,A60&lt;=$E$2),BINOMDIST(A60,$E$2,$E$4,FALSE()),0)</f>
        <v>0</v>
      </c>
      <c r="C60" s="2"/>
      <c r="D60" s="2"/>
      <c r="E60" s="2"/>
    </row>
    <row r="61" customFormat="false" ht="15" hidden="false" customHeight="false" outlineLevel="0" collapsed="false">
      <c r="A61" s="2" t="n">
        <v>59</v>
      </c>
      <c r="B61" s="39" t="n">
        <f aca="false">IF(AND(A61&gt;=$E$3,A61&lt;=$E$2),BINOMDIST(A61,$E$2,$E$4,FALSE()),0)</f>
        <v>0</v>
      </c>
      <c r="C61" s="2"/>
      <c r="D61" s="2"/>
      <c r="E61" s="2"/>
    </row>
    <row r="62" customFormat="false" ht="15" hidden="false" customHeight="false" outlineLevel="0" collapsed="false">
      <c r="A62" s="2" t="n">
        <v>60</v>
      </c>
      <c r="B62" s="39" t="n">
        <f aca="false">IF(AND(A62&gt;=$E$3,A62&lt;=$E$2),BINOMDIST(A62,$E$2,$E$4,FALSE()),0)</f>
        <v>0</v>
      </c>
      <c r="C62" s="2"/>
      <c r="D62" s="2"/>
      <c r="E62" s="2"/>
    </row>
    <row r="63" customFormat="false" ht="15" hidden="false" customHeight="false" outlineLevel="0" collapsed="false">
      <c r="A63" s="2" t="n">
        <v>61</v>
      </c>
      <c r="B63" s="39" t="n">
        <f aca="false">IF(AND(A63&gt;=$E$3,A63&lt;=$E$2),BINOMDIST(A63,$E$2,$E$4,FALSE()),0)</f>
        <v>0</v>
      </c>
      <c r="C63" s="2"/>
      <c r="D63" s="2"/>
      <c r="E63" s="2"/>
    </row>
    <row r="64" customFormat="false" ht="15" hidden="false" customHeight="false" outlineLevel="0" collapsed="false">
      <c r="A64" s="2" t="n">
        <v>62</v>
      </c>
      <c r="B64" s="39" t="n">
        <f aca="false">IF(AND(A64&gt;=$E$3,A64&lt;=$E$2),BINOMDIST(A64,$E$2,$E$4,FALSE()),0)</f>
        <v>0</v>
      </c>
      <c r="C64" s="2"/>
      <c r="D64" s="2"/>
      <c r="E64" s="2"/>
    </row>
    <row r="65" customFormat="false" ht="15" hidden="false" customHeight="false" outlineLevel="0" collapsed="false">
      <c r="A65" s="2" t="n">
        <v>63</v>
      </c>
      <c r="B65" s="39" t="n">
        <f aca="false">IF(AND(A65&gt;=$E$3,A65&lt;=$E$2),BINOMDIST(A65,$E$2,$E$4,FALSE()),0)</f>
        <v>0</v>
      </c>
      <c r="C65" s="2"/>
      <c r="D65" s="2"/>
      <c r="E65" s="2"/>
    </row>
    <row r="66" customFormat="false" ht="15" hidden="false" customHeight="false" outlineLevel="0" collapsed="false">
      <c r="A66" s="2" t="n">
        <v>64</v>
      </c>
      <c r="B66" s="39" t="n">
        <f aca="false">IF(AND(A66&gt;=$E$3,A66&lt;=$E$2),BINOMDIST(A66,$E$2,$E$4,FALSE()),0)</f>
        <v>0</v>
      </c>
      <c r="C66" s="2"/>
      <c r="D66" s="2"/>
      <c r="E66" s="2"/>
    </row>
    <row r="67" customFormat="false" ht="15" hidden="false" customHeight="false" outlineLevel="0" collapsed="false">
      <c r="A67" s="2" t="n">
        <v>65</v>
      </c>
      <c r="B67" s="39" t="n">
        <f aca="false">IF(AND(A67&gt;=$E$3,A67&lt;=$E$2),BINOMDIST(A67,$E$2,$E$4,FALSE()),0)</f>
        <v>0</v>
      </c>
      <c r="C67" s="2"/>
      <c r="D67" s="2"/>
      <c r="E67" s="2"/>
    </row>
    <row r="68" customFormat="false" ht="15" hidden="false" customHeight="false" outlineLevel="0" collapsed="false">
      <c r="A68" s="2" t="n">
        <v>66</v>
      </c>
      <c r="B68" s="39" t="n">
        <f aca="false">IF(AND(A68&gt;=$E$3,A68&lt;=$E$2),BINOMDIST(A68,$E$2,$E$4,FALSE()),0)</f>
        <v>0</v>
      </c>
      <c r="C68" s="2"/>
      <c r="D68" s="2"/>
      <c r="E68" s="2"/>
    </row>
    <row r="69" customFormat="false" ht="15" hidden="false" customHeight="false" outlineLevel="0" collapsed="false">
      <c r="A69" s="2" t="n">
        <v>67</v>
      </c>
      <c r="B69" s="39" t="n">
        <f aca="false">IF(AND(A69&gt;=$E$3,A69&lt;=$E$2),BINOMDIST(A69,$E$2,$E$4,FALSE()),0)</f>
        <v>0</v>
      </c>
      <c r="C69" s="2"/>
      <c r="D69" s="2"/>
      <c r="E69" s="2"/>
    </row>
    <row r="70" customFormat="false" ht="15" hidden="false" customHeight="false" outlineLevel="0" collapsed="false">
      <c r="A70" s="2" t="n">
        <v>68</v>
      </c>
      <c r="B70" s="39" t="n">
        <f aca="false">IF(AND(A70&gt;=$E$3,A70&lt;=$E$2),BINOMDIST(A70,$E$2,$E$4,FALSE()),0)</f>
        <v>0</v>
      </c>
      <c r="C70" s="2"/>
      <c r="D70" s="2"/>
      <c r="E70" s="2"/>
    </row>
    <row r="71" customFormat="false" ht="15" hidden="false" customHeight="false" outlineLevel="0" collapsed="false">
      <c r="A71" s="2" t="n">
        <v>69</v>
      </c>
      <c r="B71" s="39" t="n">
        <f aca="false">IF(AND(A71&gt;=$E$3,A71&lt;=$E$2),BINOMDIST(A71,$E$2,$E$4,FALSE()),0)</f>
        <v>0</v>
      </c>
      <c r="C71" s="2"/>
      <c r="D71" s="2"/>
      <c r="E71" s="2"/>
    </row>
    <row r="72" customFormat="false" ht="15" hidden="false" customHeight="false" outlineLevel="0" collapsed="false">
      <c r="A72" s="2" t="n">
        <v>70</v>
      </c>
      <c r="B72" s="39" t="n">
        <f aca="false">IF(AND(A72&gt;=$E$3,A72&lt;=$E$2),BINOMDIST(A72,$E$2,$E$4,FALSE()),0)</f>
        <v>0</v>
      </c>
      <c r="C72" s="2"/>
      <c r="D72" s="2"/>
      <c r="E72" s="2"/>
    </row>
    <row r="73" customFormat="false" ht="15" hidden="false" customHeight="false" outlineLevel="0" collapsed="false">
      <c r="A73" s="2" t="n">
        <v>71</v>
      </c>
      <c r="B73" s="39" t="n">
        <f aca="false">IF(AND(A73&gt;=$E$3,A73&lt;=$E$2),BINOMDIST(A73,$E$2,$E$4,FALSE()),0)</f>
        <v>0</v>
      </c>
      <c r="C73" s="2"/>
      <c r="D73" s="2"/>
      <c r="E73" s="2"/>
    </row>
    <row r="74" customFormat="false" ht="15" hidden="false" customHeight="false" outlineLevel="0" collapsed="false">
      <c r="A74" s="2" t="n">
        <v>72</v>
      </c>
      <c r="B74" s="39" t="n">
        <f aca="false">IF(AND(A74&gt;=$E$3,A74&lt;=$E$2),BINOMDIST(A74,$E$2,$E$4,FALSE()),0)</f>
        <v>0</v>
      </c>
      <c r="C74" s="2"/>
      <c r="D74" s="2"/>
      <c r="E74" s="2"/>
    </row>
    <row r="75" customFormat="false" ht="15" hidden="false" customHeight="false" outlineLevel="0" collapsed="false">
      <c r="A75" s="2" t="n">
        <v>73</v>
      </c>
      <c r="B75" s="39" t="n">
        <f aca="false">IF(AND(A75&gt;=$E$3,A75&lt;=$E$2),BINOMDIST(A75,$E$2,$E$4,FALSE()),0)</f>
        <v>0</v>
      </c>
      <c r="C75" s="2"/>
      <c r="D75" s="2"/>
      <c r="E75" s="2"/>
    </row>
    <row r="76" customFormat="false" ht="15" hidden="false" customHeight="false" outlineLevel="0" collapsed="false">
      <c r="A76" s="2" t="n">
        <v>74</v>
      </c>
      <c r="B76" s="39" t="n">
        <f aca="false">IF(AND(A76&gt;=$E$3,A76&lt;=$E$2),BINOMDIST(A76,$E$2,$E$4,FALSE()),0)</f>
        <v>0</v>
      </c>
      <c r="C76" s="2"/>
      <c r="D76" s="2"/>
      <c r="E76" s="2"/>
    </row>
    <row r="77" customFormat="false" ht="15" hidden="false" customHeight="false" outlineLevel="0" collapsed="false">
      <c r="A77" s="2" t="n">
        <v>75</v>
      </c>
      <c r="B77" s="39" t="n">
        <f aca="false">IF(AND(A77&gt;=$E$3,A77&lt;=$E$2),BINOMDIST(A77,$E$2,$E$4,FALSE()),0)</f>
        <v>0</v>
      </c>
      <c r="C77" s="2"/>
      <c r="D77" s="2"/>
      <c r="E77" s="2"/>
    </row>
    <row r="78" customFormat="false" ht="15" hidden="false" customHeight="false" outlineLevel="0" collapsed="false">
      <c r="A78" s="2" t="n">
        <v>76</v>
      </c>
      <c r="B78" s="39" t="n">
        <f aca="false">IF(AND(A78&gt;=$E$3,A78&lt;=$E$2),BINOMDIST(A78,$E$2,$E$4,FALSE()),0)</f>
        <v>0</v>
      </c>
      <c r="C78" s="2"/>
      <c r="D78" s="2"/>
      <c r="E78" s="2"/>
    </row>
    <row r="79" customFormat="false" ht="15" hidden="false" customHeight="false" outlineLevel="0" collapsed="false">
      <c r="A79" s="2" t="n">
        <v>77</v>
      </c>
      <c r="B79" s="39" t="n">
        <f aca="false">IF(AND(A79&gt;=$E$3,A79&lt;=$E$2),BINOMDIST(A79,$E$2,$E$4,FALSE()),0)</f>
        <v>0</v>
      </c>
      <c r="C79" s="2"/>
      <c r="D79" s="2"/>
      <c r="E79" s="2"/>
    </row>
    <row r="80" customFormat="false" ht="15" hidden="false" customHeight="false" outlineLevel="0" collapsed="false">
      <c r="A80" s="2" t="n">
        <v>78</v>
      </c>
      <c r="B80" s="39" t="n">
        <f aca="false">IF(AND(A80&gt;=$E$3,A80&lt;=$E$2),BINOMDIST(A80,$E$2,$E$4,FALSE()),0)</f>
        <v>0</v>
      </c>
      <c r="C80" s="2"/>
      <c r="D80" s="2"/>
      <c r="E80" s="2"/>
    </row>
    <row r="81" customFormat="false" ht="15" hidden="false" customHeight="false" outlineLevel="0" collapsed="false">
      <c r="A81" s="2" t="n">
        <v>79</v>
      </c>
      <c r="B81" s="39" t="n">
        <f aca="false">IF(AND(A81&gt;=$E$3,A81&lt;=$E$2),BINOMDIST(A81,$E$2,$E$4,FALSE()),0)</f>
        <v>1.27296197900082E-042</v>
      </c>
      <c r="C81" s="2"/>
      <c r="D81" s="2"/>
      <c r="E81" s="2"/>
    </row>
    <row r="82" customFormat="false" ht="15" hidden="false" customHeight="false" outlineLevel="0" collapsed="false">
      <c r="A82" s="2" t="n">
        <v>80</v>
      </c>
      <c r="B82" s="39" t="n">
        <f aca="false">IF(AND(A82&gt;=$E$3,A82&lt;=$E$2),BINOMDIST(A82,$E$2,$E$4,FALSE()),0)</f>
        <v>1.35940396044572E-043</v>
      </c>
      <c r="C82" s="2"/>
      <c r="D82" s="2"/>
      <c r="E82" s="2"/>
    </row>
    <row r="83" customFormat="false" ht="15" hidden="false" customHeight="false" outlineLevel="0" collapsed="false">
      <c r="A83" s="2" t="n">
        <v>81</v>
      </c>
      <c r="B83" s="39" t="n">
        <f aca="false">IF(AND(A83&gt;=$E$3,A83&lt;=$E$2),BINOMDIST(A83,$E$2,$E$4,FALSE()),0)</f>
        <v>1.4258719571583E-044</v>
      </c>
      <c r="C83" s="2"/>
      <c r="D83" s="2"/>
      <c r="E83" s="2"/>
    </row>
    <row r="84" customFormat="false" ht="15" hidden="false" customHeight="false" outlineLevel="0" collapsed="false">
      <c r="A84" s="2" t="n">
        <v>82</v>
      </c>
      <c r="B84" s="39" t="n">
        <f aca="false">IF(AND(A84&gt;=$E$3,A84&lt;=$E$2),BINOMDIST(A84,$E$2,$E$4,FALSE()),0)</f>
        <v>1.46914349680705E-045</v>
      </c>
      <c r="C84" s="2"/>
      <c r="D84" s="2"/>
      <c r="E84" s="2"/>
    </row>
    <row r="85" customFormat="false" ht="15" hidden="false" customHeight="false" outlineLevel="0" collapsed="false">
      <c r="A85" s="2" t="n">
        <v>83</v>
      </c>
      <c r="B85" s="39" t="n">
        <f aca="false">IF(AND(A85&gt;=$E$3,A85&lt;=$E$2),BINOMDIST(A85,$E$2,$E$4,FALSE()),0)</f>
        <v>1.48713583114792E-046</v>
      </c>
      <c r="C85" s="2"/>
      <c r="D85" s="2"/>
      <c r="E85" s="2"/>
    </row>
    <row r="86" customFormat="false" ht="15" hidden="false" customHeight="false" outlineLevel="0" collapsed="false">
      <c r="A86" s="2" t="n">
        <v>84</v>
      </c>
      <c r="B86" s="39" t="n">
        <f aca="false">IF(AND(A86&gt;=$E$3,A86&lt;=$E$2),BINOMDIST(A86,$E$2,$E$4,FALSE()),0)</f>
        <v>1.47907136331603E-047</v>
      </c>
      <c r="C86" s="2"/>
      <c r="D86" s="2"/>
      <c r="E86" s="2"/>
    </row>
    <row r="87" customFormat="false" ht="15" hidden="false" customHeight="false" outlineLevel="0" collapsed="false">
      <c r="A87" s="2" t="n">
        <v>85</v>
      </c>
      <c r="B87" s="39" t="n">
        <f aca="false">IF(AND(A87&gt;=$E$3,A87&lt;=$E$2),BINOMDIST(A87,$E$2,$E$4,FALSE()),0)</f>
        <v>1.44553090587473E-048</v>
      </c>
      <c r="C87" s="2"/>
      <c r="D87" s="2"/>
      <c r="E87" s="2"/>
    </row>
    <row r="88" customFormat="false" ht="15" hidden="false" customHeight="false" outlineLevel="0" collapsed="false">
      <c r="A88" s="2" t="n">
        <v>86</v>
      </c>
      <c r="B88" s="39" t="n">
        <f aca="false">IF(AND(A88&gt;=$E$3,A88&lt;=$E$2),BINOMDIST(A88,$E$2,$E$4,FALSE()),0)</f>
        <v>1.38839004032812E-049</v>
      </c>
      <c r="C88" s="2"/>
      <c r="D88" s="2"/>
      <c r="E88" s="2"/>
    </row>
    <row r="89" customFormat="false" ht="15" hidden="false" customHeight="false" outlineLevel="0" collapsed="false">
      <c r="A89" s="2" t="n">
        <v>87</v>
      </c>
      <c r="B89" s="39" t="n">
        <f aca="false">IF(AND(A89&gt;=$E$3,A89&lt;=$E$2),BINOMDIST(A89,$E$2,$E$4,FALSE()),0)</f>
        <v>1.31064777912475E-050</v>
      </c>
      <c r="C89" s="2"/>
      <c r="D89" s="2"/>
      <c r="E89" s="2"/>
    </row>
    <row r="90" customFormat="false" ht="15" hidden="false" customHeight="false" outlineLevel="0" collapsed="false">
      <c r="A90" s="2" t="n">
        <v>88</v>
      </c>
      <c r="B90" s="39" t="n">
        <f aca="false">IF(AND(A90&gt;=$E$3,A90&lt;=$E$2),BINOMDIST(A90,$E$2,$E$4,FALSE()),0)</f>
        <v>1.21616902380022E-051</v>
      </c>
      <c r="C90" s="2"/>
      <c r="D90" s="2"/>
      <c r="E90" s="2"/>
    </row>
    <row r="91" customFormat="false" ht="15" hidden="false" customHeight="false" outlineLevel="0" collapsed="false">
      <c r="A91" s="2" t="n">
        <v>89</v>
      </c>
      <c r="B91" s="39" t="n">
        <f aca="false">IF(AND(A91&gt;=$E$3,A91&lt;=$E$2),BINOMDIST(A91,$E$2,$E$4,FALSE()),0)</f>
        <v>1.10937120366377E-052</v>
      </c>
      <c r="C91" s="2"/>
      <c r="D91" s="2"/>
      <c r="E91" s="2"/>
    </row>
    <row r="92" customFormat="false" ht="15" hidden="false" customHeight="false" outlineLevel="0" collapsed="false">
      <c r="A92" s="2" t="n">
        <v>90</v>
      </c>
      <c r="B92" s="39" t="n">
        <f aca="false">IF(AND(A92&gt;=$E$3,A92&lt;=$E$2),BINOMDIST(A92,$E$2,$E$4,FALSE()),0)</f>
        <v>9.94889850092189E-054</v>
      </c>
      <c r="C92" s="2"/>
      <c r="D92" s="2"/>
      <c r="E92" s="2"/>
    </row>
    <row r="93" customFormat="false" ht="15" hidden="false" customHeight="false" outlineLevel="0" collapsed="false">
      <c r="A93" s="2" t="n">
        <v>91</v>
      </c>
      <c r="B93" s="39" t="n">
        <f aca="false">IF(AND(A93&gt;=$E$3,A93&lt;=$E$2),BINOMDIST(A93,$E$2,$E$4,FALSE()),0)</f>
        <v>8.77257399196756E-055</v>
      </c>
      <c r="C93" s="2"/>
      <c r="D93" s="2"/>
      <c r="E93" s="2"/>
    </row>
    <row r="94" customFormat="false" ht="15" hidden="false" customHeight="false" outlineLevel="0" collapsed="false">
      <c r="A94" s="2" t="n">
        <v>92</v>
      </c>
      <c r="B94" s="39" t="n">
        <f aca="false">IF(AND(A94&gt;=$E$3,A94&lt;=$E$2),BINOMDIST(A94,$E$2,$E$4,FALSE()),0)</f>
        <v>7.60624706338619E-056</v>
      </c>
      <c r="C94" s="2"/>
      <c r="D94" s="2"/>
      <c r="E94" s="2"/>
    </row>
    <row r="95" customFormat="false" ht="15" hidden="false" customHeight="false" outlineLevel="0" collapsed="false">
      <c r="A95" s="2" t="n">
        <v>93</v>
      </c>
      <c r="B95" s="39" t="n">
        <f aca="false">IF(AND(A95&gt;=$E$3,A95&lt;=$E$2),BINOMDIST(A95,$E$2,$E$4,FALSE()),0)</f>
        <v>6.48546726744503E-057</v>
      </c>
      <c r="C95" s="2"/>
      <c r="D95" s="2"/>
      <c r="E95" s="2"/>
    </row>
    <row r="96" customFormat="false" ht="15" hidden="false" customHeight="false" outlineLevel="0" collapsed="false">
      <c r="A96" s="2" t="n">
        <v>94</v>
      </c>
      <c r="B96" s="39" t="n">
        <f aca="false">IF(AND(A96&gt;=$E$3,A96&lt;=$E$2),BINOMDIST(A96,$E$2,$E$4,FALSE()),0)</f>
        <v>5.43844073247011E-058</v>
      </c>
      <c r="C96" s="2"/>
      <c r="D96" s="2"/>
      <c r="E96" s="2"/>
    </row>
    <row r="97" customFormat="false" ht="15" hidden="false" customHeight="false" outlineLevel="0" collapsed="false">
      <c r="A97" s="2" t="n">
        <v>95</v>
      </c>
      <c r="B97" s="39" t="n">
        <f aca="false">IF(AND(A97&gt;=$E$3,A97&lt;=$E$2),BINOMDIST(A97,$E$2,$E$4,FALSE()),0)</f>
        <v>4.48542287376708E-059</v>
      </c>
      <c r="C97" s="2"/>
      <c r="D97" s="2"/>
      <c r="E97" s="2"/>
    </row>
    <row r="98" customFormat="false" ht="15" hidden="false" customHeight="false" outlineLevel="0" collapsed="false">
      <c r="A98" s="2" t="n">
        <v>96</v>
      </c>
      <c r="B98" s="39" t="n">
        <f aca="false">IF(AND(A98&gt;=$E$3,A98&lt;=$E$2),BINOMDIST(A98,$E$2,$E$4,FALSE()),0)</f>
        <v>3.63882035402524E-060</v>
      </c>
      <c r="C98" s="2"/>
      <c r="D98" s="2"/>
      <c r="E98" s="2"/>
    </row>
    <row r="99" customFormat="false" ht="15" hidden="false" customHeight="false" outlineLevel="0" collapsed="false">
      <c r="A99" s="2" t="n">
        <v>97</v>
      </c>
      <c r="B99" s="39" t="n">
        <f aca="false">IF(AND(A99&gt;=$E$3,A99&lt;=$E$2),BINOMDIST(A99,$E$2,$E$4,FALSE()),0)</f>
        <v>2.90387046631705E-061</v>
      </c>
      <c r="C99" s="2"/>
      <c r="D99" s="2"/>
      <c r="E99" s="2"/>
    </row>
    <row r="100" customFormat="false" ht="15" hidden="false" customHeight="false" outlineLevel="0" collapsed="false">
      <c r="A100" s="2" t="n">
        <v>98</v>
      </c>
      <c r="B100" s="39" t="n">
        <f aca="false">IF(AND(A100&gt;=$E$3,A100&lt;=$E$2),BINOMDIST(A100,$E$2,$E$4,FALSE()),0)</f>
        <v>2.27972929046743E-062</v>
      </c>
      <c r="C100" s="2"/>
      <c r="D100" s="2"/>
      <c r="E100" s="2"/>
    </row>
    <row r="101" customFormat="false" ht="15" hidden="false" customHeight="false" outlineLevel="0" collapsed="false">
      <c r="A101" s="2" t="n">
        <v>99</v>
      </c>
      <c r="B101" s="39" t="n">
        <f aca="false">IF(AND(A101&gt;=$E$3,A101&lt;=$E$2),BINOMDIST(A101,$E$2,$E$4,FALSE()),0)</f>
        <v>1.76079018948096E-063</v>
      </c>
      <c r="C101" s="2"/>
      <c r="D101" s="2"/>
      <c r="E101" s="2"/>
    </row>
    <row r="102" customFormat="false" ht="15" hidden="false" customHeight="false" outlineLevel="0" collapsed="false">
      <c r="A102" s="2" t="n">
        <v>100</v>
      </c>
      <c r="B102" s="39" t="n">
        <f aca="false">IF(AND(A102&gt;=$E$3,A102&lt;=$E$2),BINOMDIST(A102,$E$2,$E$4,FALSE()),0)</f>
        <v>1.33806742044619E-064</v>
      </c>
      <c r="C102" s="2"/>
      <c r="D102" s="2"/>
      <c r="E102" s="2"/>
    </row>
    <row r="103" customFormat="false" ht="15" hidden="false" customHeight="false" outlineLevel="0" collapsed="false">
      <c r="A103" s="2" t="n">
        <v>101</v>
      </c>
      <c r="B103" s="39" t="n">
        <f aca="false">IF(AND(A103&gt;=$E$3,A103&lt;=$E$2),BINOMDIST(A103,$E$2,$E$4,FALSE()),0)</f>
        <v>1.00050926826025E-065</v>
      </c>
      <c r="C103" s="2"/>
      <c r="D103" s="2"/>
      <c r="E103" s="2"/>
    </row>
    <row r="104" customFormat="false" ht="15" hidden="false" customHeight="false" outlineLevel="0" collapsed="false">
      <c r="A104" s="2" t="n">
        <v>102</v>
      </c>
      <c r="B104" s="39" t="n">
        <f aca="false">IF(AND(A104&gt;=$E$3,A104&lt;=$E$2),BINOMDIST(A104,$E$2,$E$4,FALSE()),0)</f>
        <v>7.36143665499701E-067</v>
      </c>
      <c r="C104" s="2"/>
      <c r="D104" s="2"/>
      <c r="E104" s="2"/>
    </row>
    <row r="105" customFormat="false" ht="15" hidden="false" customHeight="false" outlineLevel="0" collapsed="false">
      <c r="A105" s="2" t="n">
        <v>103</v>
      </c>
      <c r="B105" s="39" t="n">
        <f aca="false">IF(AND(A105&gt;=$E$3,A105&lt;=$E$2),BINOMDIST(A105,$E$2,$E$4,FALSE()),0)</f>
        <v>5.32999684904566E-068</v>
      </c>
      <c r="C105" s="2"/>
      <c r="D105" s="2"/>
      <c r="E105" s="2"/>
    </row>
    <row r="106" customFormat="false" ht="15" hidden="false" customHeight="false" outlineLevel="0" collapsed="false">
      <c r="A106" s="2" t="n">
        <v>104</v>
      </c>
      <c r="B106" s="39" t="n">
        <f aca="false">IF(AND(A106&gt;=$E$3,A106&lt;=$E$2),BINOMDIST(A106,$E$2,$E$4,FALSE()),0)</f>
        <v>3.79784972236395E-069</v>
      </c>
      <c r="C106" s="2"/>
      <c r="D106" s="2"/>
      <c r="E106" s="2"/>
    </row>
    <row r="107" customFormat="false" ht="15" hidden="false" customHeight="false" outlineLevel="0" collapsed="false">
      <c r="A107" s="2" t="n">
        <v>105</v>
      </c>
      <c r="B107" s="39" t="n">
        <f aca="false">IF(AND(A107&gt;=$E$3,A107&lt;=$E$2),BINOMDIST(A107,$E$2,$E$4,FALSE()),0)</f>
        <v>2.66328465028925E-070</v>
      </c>
      <c r="C107" s="2"/>
      <c r="D107" s="2"/>
      <c r="E107" s="2"/>
    </row>
    <row r="108" customFormat="false" ht="15" hidden="false" customHeight="false" outlineLevel="0" collapsed="false">
      <c r="A108" s="2" t="n">
        <v>106</v>
      </c>
      <c r="B108" s="39" t="n">
        <f aca="false">IF(AND(A108&gt;=$E$3,A108&lt;=$E$2),BINOMDIST(A108,$E$2,$E$4,FALSE()),0)</f>
        <v>1.8381795476441E-071</v>
      </c>
      <c r="C108" s="2"/>
      <c r="D108" s="2"/>
      <c r="E108" s="2"/>
    </row>
    <row r="109" customFormat="false" ht="15" hidden="false" customHeight="false" outlineLevel="0" collapsed="false">
      <c r="A109" s="2" t="n">
        <v>107</v>
      </c>
      <c r="B109" s="39" t="n">
        <f aca="false">IF(AND(A109&gt;=$E$3,A109&lt;=$E$2),BINOMDIST(A109,$E$2,$E$4,FALSE()),0)</f>
        <v>1.24873240945799E-072</v>
      </c>
      <c r="C109" s="2"/>
      <c r="D109" s="2"/>
      <c r="E109" s="2"/>
    </row>
    <row r="110" customFormat="false" ht="15" hidden="false" customHeight="false" outlineLevel="0" collapsed="false">
      <c r="A110" s="2" t="n">
        <v>108</v>
      </c>
      <c r="B110" s="39" t="n">
        <f aca="false">IF(AND(A110&gt;=$E$3,A110&lt;=$E$2),BINOMDIST(A110,$E$2,$E$4,FALSE()),0)</f>
        <v>8.34990567547252E-074</v>
      </c>
      <c r="C110" s="2"/>
      <c r="D110" s="2"/>
      <c r="E110" s="2"/>
    </row>
    <row r="111" customFormat="false" ht="15" hidden="false" customHeight="false" outlineLevel="0" collapsed="false">
      <c r="A111" s="2" t="n">
        <v>109</v>
      </c>
      <c r="B111" s="39" t="n">
        <f aca="false">IF(AND(A111&gt;=$E$3,A111&lt;=$E$2),BINOMDIST(A111,$E$2,$E$4,FALSE()),0)</f>
        <v>5.4959550262526E-075</v>
      </c>
      <c r="C111" s="2"/>
      <c r="D111" s="2"/>
      <c r="E111" s="2"/>
    </row>
    <row r="112" customFormat="false" ht="15" hidden="false" customHeight="false" outlineLevel="0" collapsed="false">
      <c r="A112" s="2" t="n">
        <v>110</v>
      </c>
      <c r="B112" s="39" t="n">
        <f aca="false">IF(AND(A112&gt;=$E$3,A112&lt;=$E$2),BINOMDIST(A112,$E$2,$E$4,FALSE()),0)</f>
        <v>3.56099974874297E-076</v>
      </c>
      <c r="C112" s="2"/>
      <c r="D112" s="2"/>
      <c r="E112" s="2"/>
    </row>
    <row r="113" customFormat="false" ht="15" hidden="false" customHeight="false" outlineLevel="0" collapsed="false">
      <c r="A113" s="2" t="n">
        <v>111</v>
      </c>
      <c r="B113" s="39" t="n">
        <f aca="false">IF(AND(A113&gt;=$E$3,A113&lt;=$E$2),BINOMDIST(A113,$E$2,$E$4,FALSE()),0)</f>
        <v>2.27135351825293E-077</v>
      </c>
      <c r="C113" s="2"/>
      <c r="D113" s="2"/>
      <c r="E113" s="2"/>
    </row>
    <row r="114" customFormat="false" ht="15" hidden="false" customHeight="false" outlineLevel="0" collapsed="false">
      <c r="A114" s="2" t="n">
        <v>112</v>
      </c>
      <c r="B114" s="39" t="n">
        <f aca="false">IF(AND(A114&gt;=$E$3,A114&lt;=$E$2),BINOMDIST(A114,$E$2,$E$4,FALSE()),0)</f>
        <v>1.42625601968256E-078</v>
      </c>
      <c r="C114" s="2"/>
      <c r="D114" s="2"/>
      <c r="E114" s="2"/>
    </row>
    <row r="115" customFormat="false" ht="15" hidden="false" customHeight="false" outlineLevel="0" collapsed="false">
      <c r="A115" s="2" t="n">
        <v>113</v>
      </c>
      <c r="B115" s="39" t="n">
        <f aca="false">IF(AND(A115&gt;=$E$3,A115&lt;=$E$2),BINOMDIST(A115,$E$2,$E$4,FALSE()),0)</f>
        <v>8.81708998312252E-080</v>
      </c>
      <c r="C115" s="2"/>
      <c r="D115" s="2"/>
      <c r="E115" s="2"/>
    </row>
    <row r="116" customFormat="false" ht="15" hidden="false" customHeight="false" outlineLevel="0" collapsed="false">
      <c r="A116" s="2" t="n">
        <v>114</v>
      </c>
      <c r="B116" s="39" t="n">
        <f aca="false">IF(AND(A116&gt;=$E$3,A116&lt;=$E$2),BINOMDIST(A116,$E$2,$E$4,FALSE()),0)</f>
        <v>5.36639043844953E-081</v>
      </c>
      <c r="C116" s="2"/>
      <c r="D116" s="2"/>
      <c r="E116" s="2"/>
    </row>
    <row r="117" customFormat="false" ht="15" hidden="false" customHeight="false" outlineLevel="0" collapsed="false">
      <c r="A117" s="2" t="n">
        <v>115</v>
      </c>
      <c r="B117" s="39" t="n">
        <f aca="false">IF(AND(A117&gt;=$E$3,A117&lt;=$E$2),BINOMDIST(A117,$E$2,$E$4,FALSE()),0)</f>
        <v>3.21574640831309E-082</v>
      </c>
      <c r="C117" s="2"/>
      <c r="D117" s="2"/>
      <c r="E117" s="2"/>
    </row>
    <row r="118" customFormat="false" ht="15" hidden="false" customHeight="false" outlineLevel="0" collapsed="false">
      <c r="A118" s="2" t="n">
        <v>116</v>
      </c>
      <c r="B118" s="39" t="n">
        <f aca="false">IF(AND(A118&gt;=$E$3,A118&lt;=$E$2),BINOMDIST(A118,$E$2,$E$4,FALSE()),0)</f>
        <v>1.89730135528408E-083</v>
      </c>
      <c r="C118" s="2"/>
      <c r="D118" s="2"/>
      <c r="E118" s="2"/>
    </row>
    <row r="119" customFormat="false" ht="15" hidden="false" customHeight="false" outlineLevel="0" collapsed="false">
      <c r="A119" s="2" t="n">
        <v>117</v>
      </c>
      <c r="B119" s="39" t="n">
        <f aca="false">IF(AND(A119&gt;=$E$3,A119&lt;=$E$2),BINOMDIST(A119,$E$2,$E$4,FALSE()),0)</f>
        <v>1.10219251646906E-084</v>
      </c>
      <c r="C119" s="2"/>
      <c r="D119" s="2"/>
      <c r="E119" s="2"/>
    </row>
    <row r="120" customFormat="false" ht="15" hidden="false" customHeight="false" outlineLevel="0" collapsed="false">
      <c r="A120" s="2" t="n">
        <v>118</v>
      </c>
      <c r="B120" s="39" t="n">
        <f aca="false">IF(AND(A120&gt;=$E$3,A120&lt;=$E$2),BINOMDIST(A120,$E$2,$E$4,FALSE()),0)</f>
        <v>6.30457766117057E-086</v>
      </c>
      <c r="C120" s="2"/>
      <c r="D120" s="2"/>
      <c r="E120" s="2"/>
    </row>
    <row r="121" customFormat="false" ht="15" hidden="false" customHeight="false" outlineLevel="0" collapsed="false">
      <c r="A121" s="2" t="n">
        <v>119</v>
      </c>
      <c r="B121" s="39" t="n">
        <f aca="false">IF(AND(A121&gt;=$E$3,A121&lt;=$E$2),BINOMDIST(A121,$E$2,$E$4,FALSE()),0)</f>
        <v>3.5509282129283E-087</v>
      </c>
      <c r="C121" s="2"/>
      <c r="D121" s="2"/>
      <c r="E121" s="2"/>
    </row>
    <row r="122" customFormat="false" ht="15" hidden="false" customHeight="false" outlineLevel="0" collapsed="false">
      <c r="A122" s="2" t="n">
        <v>120</v>
      </c>
      <c r="B122" s="39" t="n">
        <f aca="false">IF(AND(A122&gt;=$E$3,A122&lt;=$E$2),BINOMDIST(A122,$E$2,$E$4,FALSE()),0)</f>
        <v>1.96935617804924E-088</v>
      </c>
      <c r="C122" s="2"/>
      <c r="D122" s="2"/>
      <c r="E122" s="2"/>
    </row>
    <row r="123" customFormat="false" ht="15" hidden="false" customHeight="false" outlineLevel="0" collapsed="false">
      <c r="A123" s="2" t="n">
        <v>121</v>
      </c>
      <c r="B123" s="39" t="n">
        <f aca="false">IF(AND(A123&gt;=$E$3,A123&lt;=$E$2),BINOMDIST(A123,$E$2,$E$4,FALSE()),0)</f>
        <v>1.07550255353428E-089</v>
      </c>
      <c r="C123" s="2"/>
      <c r="D123" s="2"/>
      <c r="E123" s="2"/>
    </row>
    <row r="124" customFormat="false" ht="15" hidden="false" customHeight="false" outlineLevel="0" collapsed="false">
      <c r="A124" s="2" t="n">
        <v>122</v>
      </c>
      <c r="B124" s="39" t="n">
        <f aca="false">IF(AND(A124&gt;=$E$3,A124&lt;=$E$2),BINOMDIST(A124,$E$2,$E$4,FALSE()),0)</f>
        <v>5.78376882600079E-091</v>
      </c>
      <c r="C124" s="2"/>
      <c r="D124" s="2"/>
      <c r="E124" s="2"/>
    </row>
    <row r="125" customFormat="false" ht="15" hidden="false" customHeight="false" outlineLevel="0" collapsed="false">
      <c r="A125" s="2" t="n">
        <v>123</v>
      </c>
      <c r="B125" s="39" t="n">
        <f aca="false">IF(AND(A125&gt;=$E$3,A125&lt;=$E$2),BINOMDIST(A125,$E$2,$E$4,FALSE()),0)</f>
        <v>3.06287597849982E-092</v>
      </c>
      <c r="C125" s="2"/>
      <c r="D125" s="2"/>
      <c r="E125" s="2"/>
    </row>
    <row r="126" customFormat="false" ht="15" hidden="false" customHeight="false" outlineLevel="0" collapsed="false">
      <c r="A126" s="2" t="n">
        <v>124</v>
      </c>
      <c r="B126" s="39" t="n">
        <f aca="false">IF(AND(A126&gt;=$E$3,A126&lt;=$E$2),BINOMDIST(A126,$E$2,$E$4,FALSE()),0)</f>
        <v>1.59724966038114E-093</v>
      </c>
      <c r="C126" s="2"/>
      <c r="D126" s="2"/>
      <c r="E126" s="2"/>
    </row>
    <row r="127" customFormat="false" ht="15" hidden="false" customHeight="false" outlineLevel="0" collapsed="false">
      <c r="A127" s="2" t="n">
        <v>125</v>
      </c>
      <c r="B127" s="39" t="n">
        <f aca="false">IF(AND(A127&gt;=$E$3,A127&lt;=$E$2),BINOMDIST(A127,$E$2,$E$4,FALSE()),0)</f>
        <v>8.20249946087061E-095</v>
      </c>
      <c r="C127" s="2"/>
      <c r="D127" s="2"/>
      <c r="E127" s="2"/>
    </row>
    <row r="128" customFormat="false" ht="15" hidden="false" customHeight="false" outlineLevel="0" collapsed="false">
      <c r="A128" s="2" t="n">
        <v>126</v>
      </c>
      <c r="B128" s="39" t="n">
        <f aca="false">IF(AND(A128&gt;=$E$3,A128&lt;=$E$2),BINOMDIST(A128,$E$2,$E$4,FALSE()),0)</f>
        <v>4.14814514964655E-096</v>
      </c>
      <c r="C128" s="2"/>
      <c r="D128" s="2"/>
      <c r="E128" s="2"/>
    </row>
    <row r="129" customFormat="false" ht="15" hidden="false" customHeight="false" outlineLevel="0" collapsed="false">
      <c r="A129" s="2" t="n">
        <v>127</v>
      </c>
      <c r="B129" s="39" t="n">
        <f aca="false">IF(AND(A129&gt;=$E$3,A129&lt;=$E$2),BINOMDIST(A129,$E$2,$E$4,FALSE()),0)</f>
        <v>2.06585355896426E-097</v>
      </c>
      <c r="C129" s="2"/>
      <c r="D129" s="2"/>
      <c r="E129" s="2"/>
    </row>
    <row r="130" customFormat="false" ht="15" hidden="false" customHeight="false" outlineLevel="0" collapsed="false">
      <c r="A130" s="2" t="n">
        <v>128</v>
      </c>
      <c r="B130" s="39" t="n">
        <f aca="false">IF(AND(A130&gt;=$E$3,A130&lt;=$E$2),BINOMDIST(A130,$E$2,$E$4,FALSE()),0)</f>
        <v>1.01317791525296E-098</v>
      </c>
      <c r="C130" s="2"/>
      <c r="D130" s="2"/>
      <c r="E130" s="2"/>
    </row>
    <row r="131" customFormat="false" ht="15" hidden="false" customHeight="false" outlineLevel="0" collapsed="false">
      <c r="A131" s="2" t="n">
        <v>129</v>
      </c>
      <c r="B131" s="39" t="n">
        <f aca="false">IF(AND(A131&gt;=$E$3,A131&lt;=$E$2),BINOMDIST(A131,$E$2,$E$4,FALSE()),0)</f>
        <v>4.89344201257097E-100</v>
      </c>
      <c r="C131" s="2"/>
      <c r="D131" s="2"/>
      <c r="E131" s="2"/>
    </row>
    <row r="132" customFormat="false" ht="15" hidden="false" customHeight="false" outlineLevel="0" collapsed="false">
      <c r="A132" s="2" t="n">
        <v>130</v>
      </c>
      <c r="B132" s="39" t="n">
        <f aca="false">IF(AND(A132&gt;=$E$3,A132&lt;=$E$2),BINOMDIST(A132,$E$2,$E$4,FALSE()),0)</f>
        <v>2.3274850512752E-101</v>
      </c>
      <c r="C132" s="2"/>
      <c r="D132" s="2"/>
      <c r="E132" s="2"/>
    </row>
    <row r="133" customFormat="false" ht="15" hidden="false" customHeight="false" outlineLevel="0" collapsed="false">
      <c r="A133" s="2" t="n">
        <v>131</v>
      </c>
      <c r="B133" s="39" t="n">
        <f aca="false">IF(AND(A133&gt;=$E$3,A133&lt;=$E$2),BINOMDIST(A133,$E$2,$E$4,FALSE()),0)</f>
        <v>1.09019319709331E-102</v>
      </c>
      <c r="C133" s="2"/>
      <c r="D133" s="2"/>
      <c r="E133" s="2"/>
    </row>
    <row r="134" customFormat="false" ht="15" hidden="false" customHeight="false" outlineLevel="0" collapsed="false">
      <c r="A134" s="2" t="n">
        <v>132</v>
      </c>
      <c r="B134" s="39" t="n">
        <f aca="false">IF(AND(A134&gt;=$E$3,A134&lt;=$E$2),BINOMDIST(A134,$E$2,$E$4,FALSE()),0)</f>
        <v>5.02879298034188E-104</v>
      </c>
      <c r="C134" s="2"/>
      <c r="D134" s="2"/>
      <c r="E134" s="2"/>
    </row>
    <row r="135" customFormat="false" ht="15" hidden="false" customHeight="false" outlineLevel="0" collapsed="false">
      <c r="A135" s="2" t="n">
        <v>133</v>
      </c>
      <c r="B135" s="39" t="n">
        <f aca="false">IF(AND(A135&gt;=$E$3,A135&lt;=$E$2),BINOMDIST(A135,$E$2,$E$4,FALSE()),0)</f>
        <v>2.2843707824436E-105</v>
      </c>
      <c r="C135" s="2"/>
      <c r="D135" s="2"/>
      <c r="E135" s="2"/>
    </row>
    <row r="136" customFormat="false" ht="15" hidden="false" customHeight="false" outlineLevel="0" collapsed="false">
      <c r="A136" s="2" t="n">
        <v>134</v>
      </c>
      <c r="B136" s="39" t="n">
        <f aca="false">IF(AND(A136&gt;=$E$3,A136&lt;=$E$2),BINOMDIST(A136,$E$2,$E$4,FALSE()),0)</f>
        <v>1.02190383763826E-106</v>
      </c>
      <c r="C136" s="2"/>
      <c r="D136" s="2"/>
      <c r="E136" s="2"/>
    </row>
    <row r="137" customFormat="false" ht="15" hidden="false" customHeight="false" outlineLevel="0" collapsed="false">
      <c r="A137" s="2" t="n">
        <v>135</v>
      </c>
      <c r="B137" s="39" t="n">
        <f aca="false">IF(AND(A137&gt;=$E$3,A137&lt;=$E$2),BINOMDIST(A137,$E$2,$E$4,FALSE()),0)</f>
        <v>4.5018530790487E-108</v>
      </c>
      <c r="C137" s="2"/>
      <c r="D137" s="2"/>
      <c r="E137" s="2"/>
    </row>
    <row r="138" customFormat="false" ht="15" hidden="false" customHeight="false" outlineLevel="0" collapsed="false">
      <c r="A138" s="2" t="n">
        <v>136</v>
      </c>
      <c r="B138" s="39" t="n">
        <f aca="false">IF(AND(A138&gt;=$E$3,A138&lt;=$E$2),BINOMDIST(A138,$E$2,$E$4,FALSE()),0)</f>
        <v>1.95302108831983E-109</v>
      </c>
      <c r="C138" s="2"/>
      <c r="D138" s="2"/>
      <c r="E138" s="2"/>
    </row>
    <row r="139" customFormat="false" ht="15" hidden="false" customHeight="false" outlineLevel="0" collapsed="false">
      <c r="A139" s="2" t="n">
        <v>137</v>
      </c>
      <c r="B139" s="39" t="n">
        <f aca="false">IF(AND(A139&gt;=$E$3,A139&lt;=$E$2),BINOMDIST(A139,$E$2,$E$4,FALSE()),0)</f>
        <v>8.34358244034495E-111</v>
      </c>
      <c r="C139" s="2"/>
      <c r="D139" s="2"/>
      <c r="E139" s="2"/>
    </row>
    <row r="140" customFormat="false" ht="15" hidden="false" customHeight="false" outlineLevel="0" collapsed="false">
      <c r="A140" s="2" t="n">
        <v>138</v>
      </c>
      <c r="B140" s="39" t="n">
        <f aca="false">IF(AND(A140&gt;=$E$3,A140&lt;=$E$2),BINOMDIST(A140,$E$2,$E$4,FALSE()),0)</f>
        <v>3.51012915951321E-112</v>
      </c>
      <c r="C140" s="2"/>
      <c r="D140" s="2"/>
      <c r="E140" s="2"/>
    </row>
    <row r="141" customFormat="false" ht="15" hidden="false" customHeight="false" outlineLevel="0" collapsed="false">
      <c r="A141" s="2" t="n">
        <v>139</v>
      </c>
      <c r="B141" s="39" t="n">
        <f aca="false">IF(AND(A141&gt;=$E$3,A141&lt;=$E$2),BINOMDIST(A141,$E$2,$E$4,FALSE()),0)</f>
        <v>1.45416148686125E-113</v>
      </c>
      <c r="C141" s="2"/>
      <c r="D141" s="2"/>
      <c r="E141" s="2"/>
    </row>
    <row r="142" customFormat="false" ht="15" hidden="false" customHeight="false" outlineLevel="0" collapsed="false">
      <c r="A142" s="2" t="n">
        <v>140</v>
      </c>
      <c r="B142" s="39" t="n">
        <f aca="false">IF(AND(A142&gt;=$E$3,A142&lt;=$E$2),BINOMDIST(A142,$E$2,$E$4,FALSE()),0)</f>
        <v>5.93218222992902E-115</v>
      </c>
      <c r="C142" s="2"/>
      <c r="D142" s="2"/>
      <c r="E142" s="2"/>
    </row>
    <row r="143" customFormat="false" ht="15" hidden="false" customHeight="false" outlineLevel="0" collapsed="false">
      <c r="A143" s="2" t="n">
        <v>141</v>
      </c>
      <c r="B143" s="39" t="n">
        <f aca="false">IF(AND(A143&gt;=$E$3,A143&lt;=$E$2),BINOMDIST(A143,$E$2,$E$4,FALSE()),0)</f>
        <v>2.38298400709403E-116</v>
      </c>
      <c r="C143" s="2"/>
      <c r="D143" s="2"/>
      <c r="E143" s="2"/>
    </row>
    <row r="144" customFormat="false" ht="15" hidden="false" customHeight="false" outlineLevel="0" collapsed="false">
      <c r="A144" s="2" t="n">
        <v>142</v>
      </c>
      <c r="B144" s="39" t="n">
        <f aca="false">IF(AND(A144&gt;=$E$3,A144&lt;=$E$2),BINOMDIST(A144,$E$2,$E$4,FALSE()),0)</f>
        <v>9.42593097999695E-118</v>
      </c>
      <c r="C144" s="2"/>
      <c r="D144" s="2"/>
      <c r="E144" s="2"/>
    </row>
    <row r="145" customFormat="false" ht="15" hidden="false" customHeight="false" outlineLevel="0" collapsed="false">
      <c r="A145" s="2" t="n">
        <v>143</v>
      </c>
      <c r="B145" s="39" t="n">
        <f aca="false">IF(AND(A145&gt;=$E$3,A145&lt;=$E$2),BINOMDIST(A145,$E$2,$E$4,FALSE()),0)</f>
        <v>3.67125656300503E-119</v>
      </c>
      <c r="C145" s="2"/>
      <c r="D145" s="2"/>
      <c r="E145" s="2"/>
    </row>
    <row r="146" customFormat="false" ht="15" hidden="false" customHeight="false" outlineLevel="0" collapsed="false">
      <c r="A146" s="2" t="n">
        <v>144</v>
      </c>
      <c r="B146" s="39" t="n">
        <f aca="false">IF(AND(A146&gt;=$E$3,A146&lt;=$E$2),BINOMDIST(A146,$E$2,$E$4,FALSE()),0)</f>
        <v>1.40793503569684E-120</v>
      </c>
      <c r="C146" s="2"/>
      <c r="D146" s="2"/>
      <c r="E146" s="2"/>
    </row>
    <row r="147" customFormat="false" ht="15" hidden="false" customHeight="false" outlineLevel="0" collapsed="false">
      <c r="A147" s="2" t="n">
        <v>145</v>
      </c>
      <c r="B147" s="39" t="n">
        <f aca="false">IF(AND(A147&gt;=$E$3,A147&lt;=$E$2),BINOMDIST(A147,$E$2,$E$4,FALSE()),0)</f>
        <v>5.31639344589907E-122</v>
      </c>
      <c r="C147" s="2"/>
      <c r="D147" s="2"/>
      <c r="E147" s="2"/>
    </row>
    <row r="148" customFormat="false" ht="15" hidden="false" customHeight="false" outlineLevel="0" collapsed="false">
      <c r="A148" s="2" t="n">
        <v>146</v>
      </c>
      <c r="B148" s="39" t="n">
        <f aca="false">IF(AND(A148&gt;=$E$3,A148&lt;=$E$2),BINOMDIST(A148,$E$2,$E$4,FALSE()),0)</f>
        <v>1.97654455769307E-123</v>
      </c>
      <c r="C148" s="2"/>
      <c r="D148" s="2"/>
      <c r="E148" s="2"/>
    </row>
    <row r="149" customFormat="false" ht="15" hidden="false" customHeight="false" outlineLevel="0" collapsed="false">
      <c r="A149" s="2" t="n">
        <v>147</v>
      </c>
      <c r="B149" s="39" t="n">
        <f aca="false">IF(AND(A149&gt;=$E$3,A149&lt;=$E$2),BINOMDIST(A149,$E$2,$E$4,FALSE()),0)</f>
        <v>7.23500168276787E-125</v>
      </c>
      <c r="C149" s="2"/>
      <c r="D149" s="2"/>
      <c r="E149" s="2"/>
    </row>
    <row r="150" customFormat="false" ht="15" hidden="false" customHeight="false" outlineLevel="0" collapsed="false">
      <c r="A150" s="2" t="n">
        <v>148</v>
      </c>
      <c r="B150" s="39" t="n">
        <f aca="false">IF(AND(A150&gt;=$E$3,A150&lt;=$E$2),BINOMDIST(A150,$E$2,$E$4,FALSE()),0)</f>
        <v>2.6073532554656E-126</v>
      </c>
      <c r="C150" s="2"/>
      <c r="D150" s="2"/>
      <c r="E150" s="2"/>
    </row>
    <row r="151" customFormat="false" ht="15" hidden="false" customHeight="false" outlineLevel="0" collapsed="false">
      <c r="A151" s="2" t="n">
        <v>149</v>
      </c>
      <c r="B151" s="39" t="n">
        <f aca="false">IF(AND(A151&gt;=$E$3,A151&lt;=$E$2),BINOMDIST(A151,$E$2,$E$4,FALSE()),0)</f>
        <v>9.2507328703426E-128</v>
      </c>
      <c r="C151" s="2"/>
      <c r="D151" s="2"/>
      <c r="E151" s="2"/>
    </row>
    <row r="152" customFormat="false" ht="15" hidden="false" customHeight="false" outlineLevel="0" collapsed="false">
      <c r="A152" s="2" t="n">
        <v>150</v>
      </c>
      <c r="B152" s="39" t="n">
        <f aca="false">IF(AND(A152&gt;=$E$3,A152&lt;=$E$2),BINOMDIST(A152,$E$2,$E$4,FALSE()),0)</f>
        <v>3.23111466638181E-129</v>
      </c>
      <c r="C152" s="2"/>
      <c r="D152" s="2"/>
      <c r="E152" s="2"/>
    </row>
    <row r="153" customFormat="false" ht="15" hidden="false" customHeight="false" outlineLevel="0" collapsed="false">
      <c r="A153" s="2" t="n">
        <v>151</v>
      </c>
      <c r="B153" s="39" t="n">
        <f aca="false">IF(AND(A153&gt;=$E$3,A153&lt;=$E$2),BINOMDIST(A153,$E$2,$E$4,FALSE()),0)</f>
        <v>1.11099631681647E-130</v>
      </c>
      <c r="C153" s="2"/>
      <c r="D153" s="2"/>
      <c r="E153" s="2"/>
    </row>
    <row r="154" customFormat="false" ht="15" hidden="false" customHeight="false" outlineLevel="0" collapsed="false">
      <c r="A154" s="2" t="n">
        <v>152</v>
      </c>
      <c r="B154" s="39" t="n">
        <f aca="false">IF(AND(A154&gt;=$E$3,A154&lt;=$E$2),BINOMDIST(A154,$E$2,$E$4,FALSE()),0)</f>
        <v>3.76045191619549E-132</v>
      </c>
      <c r="C154" s="2"/>
      <c r="D154" s="2"/>
      <c r="E154" s="2"/>
    </row>
    <row r="155" customFormat="false" ht="15" hidden="false" customHeight="false" outlineLevel="0" collapsed="false">
      <c r="A155" s="2" t="n">
        <v>153</v>
      </c>
      <c r="B155" s="39" t="n">
        <f aca="false">IF(AND(A155&gt;=$E$3,A155&lt;=$E$2),BINOMDIST(A155,$E$2,$E$4,FALSE()),0)</f>
        <v>1.25290134429259E-133</v>
      </c>
      <c r="C155" s="2"/>
      <c r="D155" s="2"/>
      <c r="E155" s="2"/>
    </row>
    <row r="156" customFormat="false" ht="15" hidden="false" customHeight="false" outlineLevel="0" collapsed="false">
      <c r="A156" s="2" t="n">
        <v>154</v>
      </c>
      <c r="B156" s="39" t="n">
        <f aca="false">IF(AND(A156&gt;=$E$3,A156&lt;=$E$2),BINOMDIST(A156,$E$2,$E$4,FALSE()),0)</f>
        <v>4.1088893180953E-135</v>
      </c>
      <c r="C156" s="2"/>
      <c r="D156" s="2"/>
      <c r="E156" s="2"/>
    </row>
    <row r="157" customFormat="false" ht="15" hidden="false" customHeight="false" outlineLevel="0" collapsed="false">
      <c r="A157" s="2" t="n">
        <v>155</v>
      </c>
      <c r="B157" s="39" t="n">
        <f aca="false">IF(AND(A157&gt;=$E$3,A157&lt;=$E$2),BINOMDIST(A157,$E$2,$E$4,FALSE()),0)</f>
        <v>1.326304125569E-136</v>
      </c>
      <c r="C157" s="2"/>
      <c r="D157" s="2"/>
      <c r="E157" s="2"/>
    </row>
    <row r="158" customFormat="false" ht="15" hidden="false" customHeight="false" outlineLevel="0" collapsed="false">
      <c r="A158" s="2" t="n">
        <v>156</v>
      </c>
      <c r="B158" s="39" t="n">
        <f aca="false">IF(AND(A158&gt;=$E$3,A158&lt;=$E$2),BINOMDIST(A158,$E$2,$E$4,FALSE()),0)</f>
        <v>4.2135905558086E-138</v>
      </c>
      <c r="C158" s="2"/>
      <c r="D158" s="2"/>
      <c r="E158" s="2"/>
    </row>
    <row r="159" customFormat="false" ht="15" hidden="false" customHeight="false" outlineLevel="0" collapsed="false">
      <c r="A159" s="2" t="n">
        <v>157</v>
      </c>
      <c r="B159" s="39" t="n">
        <f aca="false">IF(AND(A159&gt;=$E$3,A159&lt;=$E$2),BINOMDIST(A159,$E$2,$E$4,FALSE()),0)</f>
        <v>1.31743904201561E-139</v>
      </c>
      <c r="C159" s="2"/>
      <c r="D159" s="2"/>
      <c r="E159" s="2"/>
    </row>
    <row r="160" customFormat="false" ht="15" hidden="false" customHeight="false" outlineLevel="0" collapsed="false">
      <c r="A160" s="2" t="n">
        <v>158</v>
      </c>
      <c r="B160" s="39" t="n">
        <f aca="false">IF(AND(A160&gt;=$E$3,A160&lt;=$E$2),BINOMDIST(A160,$E$2,$E$4,FALSE()),0)</f>
        <v>4.05373335057472E-141</v>
      </c>
      <c r="C160" s="2"/>
      <c r="D160" s="2"/>
      <c r="E160" s="2"/>
    </row>
    <row r="161" customFormat="false" ht="15" hidden="false" customHeight="false" outlineLevel="0" collapsed="false">
      <c r="A161" s="2" t="n">
        <v>159</v>
      </c>
      <c r="B161" s="39" t="n">
        <f aca="false">IF(AND(A161&gt;=$E$3,A161&lt;=$E$2),BINOMDIST(A161,$E$2,$E$4,FALSE()),0)</f>
        <v>1.22744696414452E-142</v>
      </c>
      <c r="C161" s="2"/>
      <c r="D161" s="2"/>
      <c r="E161" s="2"/>
    </row>
    <row r="162" customFormat="false" ht="15" hidden="false" customHeight="false" outlineLevel="0" collapsed="false">
      <c r="A162" s="2" t="n">
        <v>160</v>
      </c>
      <c r="B162" s="39" t="n">
        <f aca="false">IF(AND(A162&gt;=$E$3,A162&lt;=$E$2),BINOMDIST(A162,$E$2,$E$4,FALSE()),0)</f>
        <v>3.65719938365837E-144</v>
      </c>
      <c r="C162" s="2"/>
      <c r="D162" s="2"/>
      <c r="E162" s="2"/>
    </row>
    <row r="163" customFormat="false" ht="15" hidden="false" customHeight="false" outlineLevel="0" collapsed="false">
      <c r="A163" s="2" t="n">
        <v>161</v>
      </c>
      <c r="B163" s="39" t="n">
        <f aca="false">IF(AND(A163&gt;=$E$3,A163&lt;=$E$2),BINOMDIST(A163,$E$2,$E$4,FALSE()),0)</f>
        <v>1.07217894026563E-145</v>
      </c>
      <c r="C163" s="2"/>
      <c r="D163" s="2"/>
      <c r="E163" s="2"/>
    </row>
    <row r="164" customFormat="false" ht="15" hidden="false" customHeight="false" outlineLevel="0" collapsed="false">
      <c r="A164" s="2" t="n">
        <v>162</v>
      </c>
      <c r="B164" s="39" t="n">
        <f aca="false">IF(AND(A164&gt;=$E$3,A164&lt;=$E$2),BINOMDIST(A164,$E$2,$E$4,FALSE()),0)</f>
        <v>3.09265847626915E-147</v>
      </c>
      <c r="C164" s="2"/>
      <c r="D164" s="2"/>
      <c r="E164" s="2"/>
    </row>
    <row r="165" customFormat="false" ht="15" hidden="false" customHeight="false" outlineLevel="0" collapsed="false">
      <c r="A165" s="2" t="n">
        <v>163</v>
      </c>
      <c r="B165" s="39" t="n">
        <f aca="false">IF(AND(A165&gt;=$E$3,A165&lt;=$E$2),BINOMDIST(A165,$E$2,$E$4,FALSE()),0)</f>
        <v>8.77637042556857E-149</v>
      </c>
      <c r="C165" s="2"/>
      <c r="D165" s="2"/>
      <c r="E165" s="2"/>
    </row>
    <row r="166" customFormat="false" ht="15" hidden="false" customHeight="false" outlineLevel="0" collapsed="false">
      <c r="A166" s="2" t="n">
        <v>164</v>
      </c>
      <c r="B166" s="39" t="n">
        <f aca="false">IF(AND(A166&gt;=$E$3,A166&lt;=$E$2),BINOMDIST(A166,$E$2,$E$4,FALSE()),0)</f>
        <v>2.45011992543555E-150</v>
      </c>
      <c r="C166" s="2"/>
      <c r="D166" s="2"/>
      <c r="E166" s="2"/>
    </row>
    <row r="167" customFormat="false" ht="15" hidden="false" customHeight="false" outlineLevel="0" collapsed="false">
      <c r="A167" s="2" t="n">
        <v>165</v>
      </c>
      <c r="B167" s="39" t="n">
        <f aca="false">IF(AND(A167&gt;=$E$3,A167&lt;=$E$2),BINOMDIST(A167,$E$2,$E$4,FALSE()),0)</f>
        <v>6.72851371069655E-152</v>
      </c>
      <c r="C167" s="2"/>
      <c r="D167" s="2"/>
      <c r="E167" s="2"/>
    </row>
    <row r="168" customFormat="false" ht="15" hidden="false" customHeight="false" outlineLevel="0" collapsed="false">
      <c r="A168" s="2" t="n">
        <v>166</v>
      </c>
      <c r="B168" s="39" t="n">
        <f aca="false">IF(AND(A168&gt;=$E$3,A168&lt;=$E$2),BINOMDIST(A168,$E$2,$E$4,FALSE()),0)</f>
        <v>1.81751987909754E-153</v>
      </c>
      <c r="C168" s="2"/>
      <c r="D168" s="2"/>
      <c r="E168" s="2"/>
    </row>
    <row r="169" customFormat="false" ht="15" hidden="false" customHeight="false" outlineLevel="0" collapsed="false">
      <c r="A169" s="2" t="n">
        <v>167</v>
      </c>
      <c r="B169" s="39" t="n">
        <f aca="false">IF(AND(A169&gt;=$E$3,A169&lt;=$E$2),BINOMDIST(A169,$E$2,$E$4,FALSE()),0)</f>
        <v>4.82875379851223E-155</v>
      </c>
      <c r="C169" s="2"/>
      <c r="D169" s="2"/>
      <c r="E169" s="2"/>
    </row>
    <row r="170" customFormat="false" ht="15" hidden="false" customHeight="false" outlineLevel="0" collapsed="false">
      <c r="A170" s="2" t="n">
        <v>168</v>
      </c>
      <c r="B170" s="39" t="n">
        <f aca="false">IF(AND(A170&gt;=$E$3,A170&lt;=$E$2),BINOMDIST(A170,$E$2,$E$4,FALSE()),0)</f>
        <v>1.26169168323705E-156</v>
      </c>
      <c r="C170" s="2"/>
      <c r="D170" s="2"/>
      <c r="E170" s="2"/>
    </row>
    <row r="171" customFormat="false" ht="15" hidden="false" customHeight="false" outlineLevel="0" collapsed="false">
      <c r="A171" s="2" t="n">
        <v>169</v>
      </c>
      <c r="B171" s="39" t="n">
        <f aca="false">IF(AND(A171&gt;=$E$3,A171&lt;=$E$2),BINOMDIST(A171,$E$2,$E$4,FALSE()),0)</f>
        <v>3.24189447088681E-158</v>
      </c>
      <c r="C171" s="2"/>
      <c r="D171" s="2"/>
      <c r="E171" s="2"/>
    </row>
    <row r="172" customFormat="false" ht="15" hidden="false" customHeight="false" outlineLevel="0" collapsed="false">
      <c r="A172" s="2" t="n">
        <v>170</v>
      </c>
      <c r="B172" s="39" t="n">
        <f aca="false">IF(AND(A172&gt;=$E$3,A172&lt;=$E$2),BINOMDIST(A172,$E$2,$E$4,FALSE()),0)</f>
        <v>8.19097980851135E-160</v>
      </c>
      <c r="C172" s="2"/>
      <c r="D172" s="2"/>
      <c r="E172" s="2"/>
    </row>
    <row r="173" customFormat="false" ht="15" hidden="false" customHeight="false" outlineLevel="0" collapsed="false">
      <c r="A173" s="2" t="n">
        <v>171</v>
      </c>
      <c r="B173" s="39" t="n">
        <f aca="false">IF(AND(A173&gt;=$E$3,A173&lt;=$E$2),BINOMDIST(A173,$E$2,$E$4,FALSE()),0)</f>
        <v>2.03482359595055E-161</v>
      </c>
      <c r="C173" s="2"/>
      <c r="D173" s="2"/>
      <c r="E173" s="2"/>
    </row>
    <row r="174" customFormat="false" ht="15" hidden="false" customHeight="false" outlineLevel="0" collapsed="false">
      <c r="A174" s="2" t="n">
        <v>172</v>
      </c>
      <c r="B174" s="39" t="n">
        <f aca="false">IF(AND(A174&gt;=$E$3,A174&lt;=$E$2),BINOMDIST(A174,$E$2,$E$4,FALSE()),0)</f>
        <v>4.96973046795509E-163</v>
      </c>
      <c r="C174" s="2"/>
      <c r="D174" s="2"/>
      <c r="E174" s="2"/>
    </row>
    <row r="175" customFormat="false" ht="15" hidden="false" customHeight="false" outlineLevel="0" collapsed="false">
      <c r="A175" s="2" t="n">
        <v>173</v>
      </c>
      <c r="B175" s="39" t="n">
        <f aca="false">IF(AND(A175&gt;=$E$3,A175&lt;=$E$2),BINOMDIST(A175,$E$2,$E$4,FALSE()),0)</f>
        <v>1.19320184228426E-164</v>
      </c>
      <c r="C175" s="2"/>
      <c r="D175" s="2"/>
      <c r="E175" s="2"/>
    </row>
    <row r="176" customFormat="false" ht="15" hidden="false" customHeight="false" outlineLevel="0" collapsed="false">
      <c r="A176" s="2" t="n">
        <v>174</v>
      </c>
      <c r="B176" s="39" t="n">
        <f aca="false">IF(AND(A176&gt;=$E$3,A176&lt;=$E$2),BINOMDIST(A176,$E$2,$E$4,FALSE()),0)</f>
        <v>2.81597263595294E-166</v>
      </c>
      <c r="C176" s="2"/>
      <c r="D176" s="2"/>
      <c r="E176" s="2"/>
    </row>
    <row r="177" customFormat="false" ht="15" hidden="false" customHeight="false" outlineLevel="0" collapsed="false">
      <c r="A177" s="2" t="n">
        <v>175</v>
      </c>
      <c r="B177" s="39" t="n">
        <f aca="false">IF(AND(A177&gt;=$E$3,A177&lt;=$E$2),BINOMDIST(A177,$E$2,$E$4,FALSE()),0)</f>
        <v>6.53180699494292E-168</v>
      </c>
      <c r="C177" s="2"/>
      <c r="D177" s="2"/>
      <c r="E177" s="2"/>
    </row>
    <row r="178" customFormat="false" ht="15" hidden="false" customHeight="false" outlineLevel="0" collapsed="false">
      <c r="A178" s="2" t="n">
        <v>176</v>
      </c>
      <c r="B178" s="39" t="n">
        <f aca="false">IF(AND(A178&gt;=$E$3,A178&lt;=$E$2),BINOMDIST(A178,$E$2,$E$4,FALSE()),0)</f>
        <v>1.48896370699986E-169</v>
      </c>
      <c r="C178" s="2"/>
      <c r="D178" s="2"/>
      <c r="E178" s="2"/>
    </row>
    <row r="179" customFormat="false" ht="15" hidden="false" customHeight="false" outlineLevel="0" collapsed="false">
      <c r="A179" s="2" t="n">
        <v>177</v>
      </c>
      <c r="B179" s="39" t="n">
        <f aca="false">IF(AND(A179&gt;=$E$3,A179&lt;=$E$2),BINOMDIST(A179,$E$2,$E$4,FALSE()),0)</f>
        <v>3.33529799572594E-171</v>
      </c>
      <c r="C179" s="2"/>
      <c r="D179" s="2"/>
      <c r="E179" s="2"/>
    </row>
    <row r="180" customFormat="false" ht="15" hidden="false" customHeight="false" outlineLevel="0" collapsed="false">
      <c r="A180" s="2" t="n">
        <v>178</v>
      </c>
      <c r="B180" s="39" t="n">
        <f aca="false">IF(AND(A180&gt;=$E$3,A180&lt;=$E$2),BINOMDIST(A180,$E$2,$E$4,FALSE()),0)</f>
        <v>7.34069607135591E-173</v>
      </c>
      <c r="C180" s="2"/>
      <c r="D180" s="2"/>
      <c r="E180" s="2"/>
    </row>
    <row r="181" customFormat="false" ht="15" hidden="false" customHeight="false" outlineLevel="0" collapsed="false">
      <c r="A181" s="2" t="n">
        <v>179</v>
      </c>
      <c r="B181" s="39" t="n">
        <f aca="false">IF(AND(A181&gt;=$E$3,A181&lt;=$E$2),BINOMDIST(A181,$E$2,$E$4,FALSE()),0)</f>
        <v>1.58723991134375E-174</v>
      </c>
      <c r="C181" s="2"/>
      <c r="D181" s="2"/>
      <c r="E181" s="2"/>
    </row>
    <row r="182" customFormat="false" ht="15" hidden="false" customHeight="false" outlineLevel="0" collapsed="false">
      <c r="A182" s="2" t="n">
        <v>180</v>
      </c>
      <c r="B182" s="39" t="n">
        <f aca="false">IF(AND(A182&gt;=$E$3,A182&lt;=$E$2),BINOMDIST(A182,$E$2,$E$4,FALSE()),0)</f>
        <v>3.37131707208207E-176</v>
      </c>
      <c r="C182" s="2"/>
      <c r="D182" s="2"/>
      <c r="E182" s="2"/>
    </row>
    <row r="183" customFormat="false" ht="15" hidden="false" customHeight="false" outlineLevel="0" collapsed="false">
      <c r="A183" s="2" t="n">
        <v>181</v>
      </c>
      <c r="B183" s="39" t="n">
        <f aca="false">IF(AND(A183&gt;=$E$3,A183&lt;=$E$2),BINOMDIST(A183,$E$2,$E$4,FALSE()),0)</f>
        <v>7.03324138015069E-178</v>
      </c>
      <c r="C183" s="2"/>
      <c r="D183" s="2"/>
      <c r="E183" s="2"/>
    </row>
    <row r="184" customFormat="false" ht="15" hidden="false" customHeight="false" outlineLevel="0" collapsed="false">
      <c r="A184" s="2" t="n">
        <v>182</v>
      </c>
      <c r="B184" s="39" t="n">
        <f aca="false">IF(AND(A184&gt;=$E$3,A184&lt;=$E$2),BINOMDIST(A184,$E$2,$E$4,FALSE()),0)</f>
        <v>1.44097264577664E-179</v>
      </c>
      <c r="C184" s="2"/>
      <c r="D184" s="2"/>
      <c r="E184" s="2"/>
    </row>
    <row r="185" customFormat="false" ht="15" hidden="false" customHeight="false" outlineLevel="0" collapsed="false">
      <c r="A185" s="2" t="n">
        <v>183</v>
      </c>
      <c r="B185" s="39" t="n">
        <f aca="false">IF(AND(A185&gt;=$E$3,A185&lt;=$E$2),BINOMDIST(A185,$E$2,$E$4,FALSE()),0)</f>
        <v>2.89897026151125E-181</v>
      </c>
      <c r="C185" s="2"/>
      <c r="D185" s="2"/>
      <c r="E185" s="2"/>
    </row>
    <row r="186" customFormat="false" ht="15" hidden="false" customHeight="false" outlineLevel="0" collapsed="false">
      <c r="A186" s="2" t="n">
        <v>184</v>
      </c>
      <c r="B186" s="39" t="n">
        <f aca="false">IF(AND(A186&gt;=$E$3,A186&lt;=$E$2),BINOMDIST(A186,$E$2,$E$4,FALSE()),0)</f>
        <v>5.72612959851671E-183</v>
      </c>
      <c r="C186" s="2"/>
      <c r="D186" s="2"/>
      <c r="E186" s="2"/>
    </row>
    <row r="187" customFormat="false" ht="15" hidden="false" customHeight="false" outlineLevel="0" collapsed="false">
      <c r="A187" s="2" t="n">
        <v>185</v>
      </c>
      <c r="B187" s="39" t="n">
        <f aca="false">IF(AND(A187&gt;=$E$3,A187&lt;=$E$2),BINOMDIST(A187,$E$2,$E$4,FALSE()),0)</f>
        <v>1.11031842748737E-184</v>
      </c>
      <c r="C187" s="2"/>
      <c r="D187" s="2"/>
      <c r="E187" s="2"/>
    </row>
    <row r="188" customFormat="false" ht="15" hidden="false" customHeight="false" outlineLevel="0" collapsed="false">
      <c r="A188" s="2" t="n">
        <v>186</v>
      </c>
      <c r="B188" s="39" t="n">
        <f aca="false">IF(AND(A188&gt;=$E$3,A188&lt;=$E$2),BINOMDIST(A188,$E$2,$E$4,FALSE()),0)</f>
        <v>2.11319890774773E-186</v>
      </c>
      <c r="C188" s="2"/>
      <c r="D188" s="2"/>
      <c r="E188" s="2"/>
    </row>
    <row r="189" customFormat="false" ht="15" hidden="false" customHeight="false" outlineLevel="0" collapsed="false">
      <c r="A189" s="2" t="n">
        <v>187</v>
      </c>
      <c r="B189" s="39" t="n">
        <f aca="false">IF(AND(A189&gt;=$E$3,A189&lt;=$E$2),BINOMDIST(A189,$E$2,$E$4,FALSE()),0)</f>
        <v>3.94707157130151E-188</v>
      </c>
      <c r="C189" s="2"/>
      <c r="D189" s="2"/>
      <c r="E189" s="2"/>
    </row>
    <row r="190" customFormat="false" ht="15" hidden="false" customHeight="false" outlineLevel="0" collapsed="false">
      <c r="A190" s="2" t="n">
        <v>188</v>
      </c>
      <c r="B190" s="39" t="n">
        <f aca="false">IF(AND(A190&gt;=$E$3,A190&lt;=$E$2),BINOMDIST(A190,$E$2,$E$4,FALSE()),0)</f>
        <v>7.23410025100397E-190</v>
      </c>
      <c r="C190" s="2"/>
      <c r="D190" s="2"/>
      <c r="E190" s="2"/>
    </row>
    <row r="191" customFormat="false" ht="15" hidden="false" customHeight="false" outlineLevel="0" collapsed="false">
      <c r="A191" s="2" t="n">
        <v>189</v>
      </c>
      <c r="B191" s="39" t="n">
        <f aca="false">IF(AND(A191&gt;=$E$3,A191&lt;=$E$2),BINOMDIST(A191,$E$2,$E$4,FALSE()),0)</f>
        <v>1.30076764522967E-191</v>
      </c>
      <c r="C191" s="2"/>
      <c r="D191" s="2"/>
      <c r="E191" s="2"/>
    </row>
    <row r="192" customFormat="false" ht="15" hidden="false" customHeight="false" outlineLevel="0" collapsed="false">
      <c r="A192" s="2" t="n">
        <v>190</v>
      </c>
      <c r="B192" s="39" t="n">
        <f aca="false">IF(AND(A192&gt;=$E$3,A192&lt;=$E$2),BINOMDIST(A192,$E$2,$E$4,FALSE()),0)</f>
        <v>2.29429355102857E-193</v>
      </c>
      <c r="C192" s="2"/>
      <c r="D192" s="2"/>
      <c r="E192" s="2"/>
    </row>
    <row r="193" customFormat="false" ht="15" hidden="false" customHeight="false" outlineLevel="0" collapsed="false">
      <c r="A193" s="2" t="n">
        <v>191</v>
      </c>
      <c r="B193" s="39" t="n">
        <f aca="false">IF(AND(A193&gt;=$E$3,A193&lt;=$E$2),BINOMDIST(A193,$E$2,$E$4,FALSE()),0)</f>
        <v>3.96879043933201E-195</v>
      </c>
      <c r="C193" s="2"/>
      <c r="D193" s="2"/>
      <c r="E193" s="2"/>
    </row>
    <row r="194" customFormat="false" ht="15" hidden="false" customHeight="false" outlineLevel="0" collapsed="false">
      <c r="A194" s="2" t="n">
        <v>192</v>
      </c>
      <c r="B194" s="39" t="n">
        <f aca="false">IF(AND(A194&gt;=$E$3,A194&lt;=$E$2),BINOMDIST(A194,$E$2,$E$4,FALSE()),0)</f>
        <v>6.73209972255958E-197</v>
      </c>
      <c r="C194" s="2"/>
      <c r="D194" s="2"/>
      <c r="E194" s="2"/>
    </row>
    <row r="195" customFormat="false" ht="15" hidden="false" customHeight="false" outlineLevel="0" collapsed="false">
      <c r="A195" s="2" t="n">
        <v>193</v>
      </c>
      <c r="B195" s="39" t="n">
        <f aca="false">IF(AND(A195&gt;=$E$3,A195&lt;=$E$2),BINOMDIST(A195,$E$2,$E$4,FALSE()),0)</f>
        <v>1.1195581477497E-198</v>
      </c>
      <c r="C195" s="2"/>
      <c r="D195" s="2"/>
      <c r="E195" s="2"/>
    </row>
    <row r="196" customFormat="false" ht="15" hidden="false" customHeight="false" outlineLevel="0" collapsed="false">
      <c r="A196" s="2" t="n">
        <v>194</v>
      </c>
      <c r="B196" s="39" t="n">
        <f aca="false">IF(AND(A196&gt;=$E$3,A196&lt;=$E$2),BINOMDIST(A196,$E$2,$E$4,FALSE()),0)</f>
        <v>1.82500575540457E-200</v>
      </c>
      <c r="C196" s="2"/>
      <c r="D196" s="2"/>
      <c r="E196" s="2"/>
    </row>
    <row r="197" customFormat="false" ht="15" hidden="false" customHeight="false" outlineLevel="0" collapsed="false">
      <c r="A197" s="2" t="n">
        <v>195</v>
      </c>
      <c r="B197" s="39" t="n">
        <f aca="false">IF(AND(A197&gt;=$E$3,A197&lt;=$E$2),BINOMDIST(A197,$E$2,$E$4,FALSE()),0)</f>
        <v>2.9155337508318E-202</v>
      </c>
      <c r="C197" s="2"/>
      <c r="D197" s="2"/>
      <c r="E197" s="2"/>
    </row>
    <row r="198" customFormat="false" ht="15" hidden="false" customHeight="false" outlineLevel="0" collapsed="false">
      <c r="A198" s="2" t="n">
        <v>196</v>
      </c>
      <c r="B198" s="39" t="n">
        <f aca="false">IF(AND(A198&gt;=$E$3,A198&lt;=$E$2),BINOMDIST(A198,$E$2,$E$4,FALSE()),0)</f>
        <v>4.56372922792758E-204</v>
      </c>
      <c r="C198" s="2"/>
      <c r="D198" s="2"/>
      <c r="E198" s="2"/>
    </row>
    <row r="199" customFormat="false" ht="15" hidden="false" customHeight="false" outlineLevel="0" collapsed="false">
      <c r="A199" s="2" t="n">
        <v>197</v>
      </c>
      <c r="B199" s="39" t="n">
        <f aca="false">IF(AND(A199&gt;=$E$3,A199&lt;=$E$2),BINOMDIST(A199,$E$2,$E$4,FALSE()),0)</f>
        <v>6.99806750958657E-206</v>
      </c>
      <c r="C199" s="2"/>
      <c r="D199" s="2"/>
      <c r="E199" s="2"/>
    </row>
    <row r="200" customFormat="false" ht="15" hidden="false" customHeight="false" outlineLevel="0" collapsed="false">
      <c r="A200" s="2" t="n">
        <v>198</v>
      </c>
      <c r="B200" s="39" t="n">
        <f aca="false">IF(AND(A200&gt;=$E$3,A200&lt;=$E$2),BINOMDIST(A200,$E$2,$E$4,FALSE()),0)</f>
        <v>1.05098858148188E-207</v>
      </c>
      <c r="C200" s="2"/>
      <c r="D200" s="2"/>
      <c r="E200" s="2"/>
    </row>
    <row r="201" customFormat="false" ht="15" hidden="false" customHeight="false" outlineLevel="0" collapsed="false">
      <c r="A201" s="2" t="n">
        <v>199</v>
      </c>
      <c r="B201" s="39" t="n">
        <f aca="false">IF(AND(A201&gt;=$E$3,A201&lt;=$E$2),BINOMDIST(A201,$E$2,$E$4,FALSE()),0)</f>
        <v>1.54554310297813E-209</v>
      </c>
      <c r="C201" s="2"/>
      <c r="D201" s="2"/>
      <c r="E201" s="2"/>
    </row>
    <row r="202" customFormat="false" ht="15" hidden="false" customHeight="false" outlineLevel="0" collapsed="false">
      <c r="A202" s="2" t="n">
        <v>200</v>
      </c>
      <c r="B202" s="39" t="n">
        <f aca="false">IF(AND(A202&gt;=$E$3,A202&lt;=$E$2),BINOMDIST(A202,$E$2,$E$4,FALSE()),0)</f>
        <v>2.22497672076806E-211</v>
      </c>
      <c r="C202" s="2"/>
      <c r="D202" s="2"/>
      <c r="E202" s="2"/>
    </row>
    <row r="203" customFormat="false" ht="15" hidden="false" customHeight="false" outlineLevel="0" collapsed="false">
      <c r="A203" s="2" t="n">
        <v>201</v>
      </c>
      <c r="B203" s="39" t="n">
        <f aca="false">IF(AND(A203&gt;=$E$3,A203&lt;=$E$2),BINOMDIST(A203,$E$2,$E$4,FALSE()),0)</f>
        <v>3.13491070670403E-213</v>
      </c>
      <c r="C203" s="2"/>
      <c r="D203" s="2"/>
      <c r="E203" s="2"/>
    </row>
    <row r="204" customFormat="false" ht="15" hidden="false" customHeight="false" outlineLevel="0" collapsed="false">
      <c r="A204" s="2" t="n">
        <v>202</v>
      </c>
      <c r="B204" s="39" t="n">
        <f aca="false">IF(AND(A204&gt;=$E$3,A204&lt;=$E$2),BINOMDIST(A204,$E$2,$E$4,FALSE()),0)</f>
        <v>4.32185635297171E-215</v>
      </c>
      <c r="C204" s="2"/>
      <c r="D204" s="2"/>
      <c r="E204" s="2"/>
    </row>
    <row r="205" customFormat="false" ht="15" hidden="false" customHeight="false" outlineLevel="0" collapsed="false">
      <c r="A205" s="2" t="n">
        <v>203</v>
      </c>
      <c r="B205" s="39" t="n">
        <f aca="false">IF(AND(A205&gt;=$E$3,A205&lt;=$E$2),BINOMDIST(A205,$E$2,$E$4,FALSE()),0)</f>
        <v>5.82836570846772E-217</v>
      </c>
      <c r="C205" s="2"/>
      <c r="D205" s="2"/>
      <c r="E205" s="2"/>
    </row>
    <row r="206" customFormat="false" ht="15" hidden="false" customHeight="false" outlineLevel="0" collapsed="false">
      <c r="A206" s="2" t="n">
        <v>204</v>
      </c>
      <c r="B206" s="39" t="n">
        <f aca="false">IF(AND(A206&gt;=$E$3,A206&lt;=$E$2),BINOMDIST(A206,$E$2,$E$4,FALSE()),0)</f>
        <v>7.68663029538676E-219</v>
      </c>
      <c r="C206" s="2"/>
      <c r="D206" s="2"/>
      <c r="E206" s="2"/>
    </row>
    <row r="207" customFormat="false" ht="15" hidden="false" customHeight="false" outlineLevel="0" collapsed="false">
      <c r="A207" s="2" t="n">
        <v>205</v>
      </c>
      <c r="B207" s="39" t="n">
        <f aca="false">IF(AND(A207&gt;=$E$3,A207&lt;=$E$2),BINOMDIST(A207,$E$2,$E$4,FALSE()),0)</f>
        <v>9.910935959451E-221</v>
      </c>
      <c r="C207" s="2"/>
      <c r="D207" s="2"/>
      <c r="E207" s="2"/>
    </row>
    <row r="208" customFormat="false" ht="15" hidden="false" customHeight="false" outlineLevel="0" collapsed="false">
      <c r="A208" s="2" t="n">
        <v>206</v>
      </c>
      <c r="B208" s="39" t="n">
        <f aca="false">IF(AND(A208&gt;=$E$3,A208&lt;=$E$2),BINOMDIST(A208,$E$2,$E$4,FALSE()),0)</f>
        <v>1.24897760059133E-222</v>
      </c>
      <c r="C208" s="2"/>
      <c r="D208" s="2"/>
      <c r="E208" s="2"/>
    </row>
    <row r="209" customFormat="false" ht="15" hidden="false" customHeight="false" outlineLevel="0" collapsed="false">
      <c r="A209" s="2" t="n">
        <v>207</v>
      </c>
      <c r="B209" s="39" t="n">
        <f aca="false">IF(AND(A209&gt;=$E$3,A209&lt;=$E$2),BINOMDIST(A209,$E$2,$E$4,FALSE()),0)</f>
        <v>1.53788044536076E-224</v>
      </c>
      <c r="C209" s="2"/>
      <c r="D209" s="2"/>
      <c r="E209" s="2"/>
    </row>
    <row r="210" customFormat="false" ht="15" hidden="false" customHeight="false" outlineLevel="0" collapsed="false">
      <c r="A210" s="2" t="n">
        <v>208</v>
      </c>
      <c r="B210" s="39" t="n">
        <f aca="false">IF(AND(A210&gt;=$E$3,A210&lt;=$E$2),BINOMDIST(A210,$E$2,$E$4,FALSE()),0)</f>
        <v>1.84960768029519E-226</v>
      </c>
      <c r="C210" s="2"/>
      <c r="D210" s="2"/>
      <c r="E210" s="2"/>
    </row>
    <row r="211" customFormat="false" ht="15" hidden="false" customHeight="false" outlineLevel="0" collapsed="false">
      <c r="A211" s="2" t="n">
        <v>209</v>
      </c>
      <c r="B211" s="39" t="n">
        <f aca="false">IF(AND(A211&gt;=$E$3,A211&lt;=$E$2),BINOMDIST(A211,$E$2,$E$4,FALSE()),0)</f>
        <v>2.17210686559323E-228</v>
      </c>
      <c r="C211" s="2"/>
      <c r="D211" s="2"/>
      <c r="E211" s="2"/>
    </row>
    <row r="212" customFormat="false" ht="15" hidden="false" customHeight="false" outlineLevel="0" collapsed="false">
      <c r="A212" s="2" t="n">
        <v>210</v>
      </c>
      <c r="B212" s="39" t="n">
        <f aca="false">IF(AND(A212&gt;=$E$3,A212&lt;=$E$2),BINOMDIST(A212,$E$2,$E$4,FALSE()),0)</f>
        <v>2.48986947184607E-230</v>
      </c>
      <c r="C212" s="2"/>
      <c r="D212" s="2"/>
      <c r="E212" s="2"/>
    </row>
    <row r="213" customFormat="false" ht="15" hidden="false" customHeight="false" outlineLevel="0" collapsed="false">
      <c r="A213" s="2" t="n">
        <v>211</v>
      </c>
      <c r="B213" s="39" t="n">
        <f aca="false">IF(AND(A213&gt;=$E$3,A213&lt;=$E$2),BINOMDIST(A213,$E$2,$E$4,FALSE()),0)</f>
        <v>2.78489381150324E-232</v>
      </c>
      <c r="C213" s="2"/>
      <c r="D213" s="2"/>
      <c r="E213" s="2"/>
    </row>
    <row r="214" customFormat="false" ht="15" hidden="false" customHeight="false" outlineLevel="0" collapsed="false">
      <c r="A214" s="2" t="n">
        <v>212</v>
      </c>
      <c r="B214" s="39" t="n">
        <f aca="false">IF(AND(A214&gt;=$E$3,A214&lt;=$E$2),BINOMDIST(A214,$E$2,$E$4,FALSE()),0)</f>
        <v>3.03817908630094E-234</v>
      </c>
      <c r="C214" s="2"/>
      <c r="D214" s="2"/>
      <c r="E214" s="2"/>
    </row>
    <row r="215" customFormat="false" ht="15" hidden="false" customHeight="false" outlineLevel="0" collapsed="false">
      <c r="A215" s="2" t="n">
        <v>213</v>
      </c>
      <c r="B215" s="39" t="n">
        <f aca="false">IF(AND(A215&gt;=$E$3,A215&lt;=$E$2),BINOMDIST(A215,$E$2,$E$4,FALSE()),0)</f>
        <v>3.23161425002877E-236</v>
      </c>
      <c r="C215" s="2"/>
      <c r="D215" s="2"/>
      <c r="E215" s="2"/>
    </row>
    <row r="216" customFormat="false" ht="15" hidden="false" customHeight="false" outlineLevel="0" collapsed="false">
      <c r="A216" s="2" t="n">
        <v>214</v>
      </c>
      <c r="B216" s="39" t="n">
        <f aca="false">IF(AND(A216&gt;=$E$3,A216&lt;=$E$2),BINOMDIST(A216,$E$2,$E$4,FALSE()),0)</f>
        <v>3.35002547642171E-238</v>
      </c>
      <c r="C216" s="2"/>
      <c r="D216" s="2"/>
      <c r="E216" s="2"/>
    </row>
    <row r="217" customFormat="false" ht="15" hidden="false" customHeight="false" outlineLevel="0" collapsed="false">
      <c r="A217" s="2" t="n">
        <v>215</v>
      </c>
      <c r="B217" s="39" t="n">
        <f aca="false">IF(AND(A217&gt;=$E$3,A217&lt;=$E$2),BINOMDIST(A217,$E$2,$E$4,FALSE()),0)</f>
        <v>3.38307785418534E-240</v>
      </c>
      <c r="C217" s="2"/>
      <c r="D217" s="2"/>
      <c r="E217" s="2"/>
    </row>
    <row r="218" customFormat="false" ht="15" hidden="false" customHeight="false" outlineLevel="0" collapsed="false">
      <c r="A218" s="2" t="n">
        <v>216</v>
      </c>
      <c r="B218" s="39" t="n">
        <f aca="false">IF(AND(A218&gt;=$E$3,A218&lt;=$E$2),BINOMDIST(A218,$E$2,$E$4,FALSE()),0)</f>
        <v>3.32671246566804E-242</v>
      </c>
      <c r="C218" s="2"/>
      <c r="D218" s="2"/>
      <c r="E218" s="2"/>
    </row>
    <row r="219" customFormat="false" ht="15" hidden="false" customHeight="false" outlineLevel="0" collapsed="false">
      <c r="A219" s="2" t="n">
        <v>217</v>
      </c>
      <c r="B219" s="39" t="n">
        <f aca="false">IF(AND(A219&gt;=$E$3,A219&lt;=$E$2),BINOMDIST(A219,$E$2,$E$4,FALSE()),0)</f>
        <v>3.18385088088357E-244</v>
      </c>
      <c r="C219" s="2"/>
      <c r="D219" s="2"/>
      <c r="E219" s="2"/>
    </row>
    <row r="220" customFormat="false" ht="15" hidden="false" customHeight="false" outlineLevel="0" collapsed="false">
      <c r="A220" s="2" t="n">
        <v>218</v>
      </c>
      <c r="B220" s="39" t="n">
        <f aca="false">IF(AND(A220&gt;=$E$3,A220&lt;=$E$2),BINOMDIST(A220,$E$2,$E$4,FALSE()),0)</f>
        <v>2.96421152534986E-246</v>
      </c>
      <c r="C220" s="2"/>
      <c r="D220" s="2"/>
      <c r="E220" s="2"/>
    </row>
    <row r="221" customFormat="false" ht="15" hidden="false" customHeight="false" outlineLevel="0" collapsed="false">
      <c r="A221" s="2" t="n">
        <v>219</v>
      </c>
      <c r="B221" s="39" t="n">
        <f aca="false">IF(AND(A221&gt;=$E$3,A221&lt;=$E$2),BINOMDIST(A221,$E$2,$E$4,FALSE()),0)</f>
        <v>2.68323603538804E-248</v>
      </c>
      <c r="C221" s="2"/>
      <c r="D221" s="2"/>
      <c r="E221" s="2"/>
    </row>
    <row r="222" customFormat="false" ht="15" hidden="false" customHeight="false" outlineLevel="0" collapsed="false">
      <c r="A222" s="2" t="n">
        <v>220</v>
      </c>
      <c r="B222" s="39" t="n">
        <f aca="false">IF(AND(A222&gt;=$E$3,A222&lt;=$E$2),BINOMDIST(A222,$E$2,$E$4,FALSE()),0)</f>
        <v>2.36028564132202E-250</v>
      </c>
      <c r="C222" s="2"/>
      <c r="D222" s="2"/>
      <c r="E222" s="2"/>
    </row>
    <row r="223" customFormat="false" ht="15" hidden="false" customHeight="false" outlineLevel="0" collapsed="false">
      <c r="A223" s="2" t="n">
        <v>221</v>
      </c>
      <c r="B223" s="39" t="n">
        <f aca="false">IF(AND(A223&gt;=$E$3,A223&lt;=$E$2),BINOMDIST(A223,$E$2,$E$4,FALSE()),0)</f>
        <v>2.01640048264684E-252</v>
      </c>
      <c r="C223" s="2"/>
      <c r="D223" s="2"/>
      <c r="E223" s="2"/>
    </row>
    <row r="224" customFormat="false" ht="15" hidden="false" customHeight="false" outlineLevel="0" collapsed="false">
      <c r="A224" s="2" t="n">
        <v>222</v>
      </c>
      <c r="B224" s="39" t="n">
        <f aca="false">IF(AND(A224&gt;=$E$3,A224&lt;=$E$2),BINOMDIST(A224,$E$2,$E$4,FALSE()),0)</f>
        <v>1.67198715240252E-254</v>
      </c>
      <c r="C224" s="2"/>
      <c r="D224" s="2"/>
      <c r="E224" s="2"/>
    </row>
    <row r="225" customFormat="false" ht="15" hidden="false" customHeight="false" outlineLevel="0" collapsed="false">
      <c r="A225" s="2" t="n">
        <v>223</v>
      </c>
      <c r="B225" s="39" t="n">
        <f aca="false">IF(AND(A225&gt;=$E$3,A225&lt;=$E$2),BINOMDIST(A225,$E$2,$E$4,FALSE()),0)</f>
        <v>1.34479529271882E-256</v>
      </c>
      <c r="C225" s="2"/>
      <c r="D225" s="2"/>
      <c r="E225" s="2"/>
    </row>
    <row r="226" customFormat="false" ht="15" hidden="false" customHeight="false" outlineLevel="0" collapsed="false">
      <c r="A226" s="2" t="n">
        <v>224</v>
      </c>
      <c r="B226" s="39" t="n">
        <f aca="false">IF(AND(A226&gt;=$E$3,A226&lt;=$E$2),BINOMDIST(A226,$E$2,$E$4,FALSE()),0)</f>
        <v>1.04846610883013E-258</v>
      </c>
      <c r="C226" s="2"/>
      <c r="D226" s="2"/>
      <c r="E226" s="2"/>
    </row>
    <row r="227" customFormat="false" ht="15" hidden="false" customHeight="false" outlineLevel="0" collapsed="false">
      <c r="A227" s="2" t="n">
        <v>225</v>
      </c>
      <c r="B227" s="39" t="n">
        <f aca="false">IF(AND(A227&gt;=$E$3,A227&lt;=$E$2),BINOMDIST(A227,$E$2,$E$4,FALSE()),0)</f>
        <v>7.91806185357552E-261</v>
      </c>
      <c r="C227" s="2"/>
      <c r="D227" s="2"/>
      <c r="E227" s="2"/>
    </row>
    <row r="228" customFormat="false" ht="15" hidden="false" customHeight="false" outlineLevel="0" collapsed="false">
      <c r="A228" s="2" t="n">
        <v>226</v>
      </c>
      <c r="B228" s="39" t="n">
        <f aca="false">IF(AND(A228&gt;=$E$3,A228&lt;=$E$2),BINOMDIST(A228,$E$2,$E$4,FALSE()),0)</f>
        <v>5.78792647948357E-263</v>
      </c>
      <c r="C228" s="2"/>
      <c r="D228" s="2"/>
      <c r="E228" s="2"/>
    </row>
    <row r="229" customFormat="false" ht="15" hidden="false" customHeight="false" outlineLevel="0" collapsed="false">
      <c r="A229" s="2" t="n">
        <v>227</v>
      </c>
      <c r="B229" s="39" t="n">
        <f aca="false">IF(AND(A229&gt;=$E$3,A229&lt;=$E$2),BINOMDIST(A229,$E$2,$E$4,FALSE()),0)</f>
        <v>4.09185821187897E-265</v>
      </c>
      <c r="C229" s="2"/>
      <c r="D229" s="2"/>
      <c r="E229" s="2"/>
    </row>
    <row r="230" customFormat="false" ht="15" hidden="false" customHeight="false" outlineLevel="0" collapsed="false">
      <c r="A230" s="2" t="n">
        <v>228</v>
      </c>
      <c r="B230" s="39" t="n">
        <f aca="false">IF(AND(A230&gt;=$E$3,A230&lt;=$E$2),BINOMDIST(A230,$E$2,$E$4,FALSE()),0)</f>
        <v>2.7954014107628E-267</v>
      </c>
      <c r="C230" s="2"/>
      <c r="D230" s="2"/>
      <c r="E230" s="2"/>
    </row>
    <row r="231" customFormat="false" ht="15" hidden="false" customHeight="false" outlineLevel="0" collapsed="false">
      <c r="A231" s="2" t="n">
        <v>229</v>
      </c>
      <c r="B231" s="39" t="n">
        <f aca="false">IF(AND(A231&gt;=$E$3,A231&lt;=$E$2),BINOMDIST(A231,$E$2,$E$4,FALSE()),0)</f>
        <v>1.84375489645312E-269</v>
      </c>
      <c r="C231" s="2"/>
      <c r="D231" s="2"/>
      <c r="E231" s="2"/>
    </row>
    <row r="232" customFormat="false" ht="15" hidden="false" customHeight="false" outlineLevel="0" collapsed="false">
      <c r="A232" s="2" t="n">
        <v>230</v>
      </c>
      <c r="B232" s="39" t="n">
        <f aca="false">IF(AND(A232&gt;=$E$3,A232&lt;=$E$2),BINOMDIST(A232,$E$2,$E$4,FALSE()),0)</f>
        <v>1.17295555178464E-271</v>
      </c>
      <c r="C232" s="2"/>
      <c r="D232" s="2"/>
      <c r="E232" s="2"/>
    </row>
    <row r="233" customFormat="false" ht="15" hidden="false" customHeight="false" outlineLevel="0" collapsed="false">
      <c r="A233" s="2" t="n">
        <v>231</v>
      </c>
      <c r="B233" s="39" t="n">
        <f aca="false">IF(AND(A233&gt;=$E$3,A233&lt;=$E$2),BINOMDIST(A233,$E$2,$E$4,FALSE()),0)</f>
        <v>7.19010678959928E-274</v>
      </c>
      <c r="C233" s="2"/>
      <c r="D233" s="2"/>
      <c r="E233" s="2"/>
    </row>
    <row r="234" customFormat="false" ht="15" hidden="false" customHeight="false" outlineLevel="0" collapsed="false">
      <c r="A234" s="2" t="n">
        <v>232</v>
      </c>
      <c r="B234" s="39" t="n">
        <f aca="false">IF(AND(A234&gt;=$E$3,A234&lt;=$E$2),BINOMDIST(A234,$E$2,$E$4,FALSE()),0)</f>
        <v>4.24218754354458E-276</v>
      </c>
      <c r="C234" s="2"/>
      <c r="D234" s="2"/>
      <c r="E234" s="2"/>
    </row>
    <row r="235" customFormat="false" ht="15" hidden="false" customHeight="false" outlineLevel="0" collapsed="false">
      <c r="A235" s="2" t="n">
        <v>233</v>
      </c>
      <c r="B235" s="39" t="n">
        <f aca="false">IF(AND(A235&gt;=$E$3,A235&lt;=$E$2),BINOMDIST(A235,$E$2,$E$4,FALSE()),0)</f>
        <v>2.40622638915679E-278</v>
      </c>
      <c r="C235" s="2"/>
      <c r="D235" s="2"/>
      <c r="E235" s="2"/>
    </row>
    <row r="236" customFormat="false" ht="15" hidden="false" customHeight="false" outlineLevel="0" collapsed="false">
      <c r="A236" s="2" t="n">
        <v>234</v>
      </c>
      <c r="B236" s="39" t="n">
        <f aca="false">IF(AND(A236&gt;=$E$3,A236&lt;=$E$2),BINOMDIST(A236,$E$2,$E$4,FALSE()),0)</f>
        <v>1.31047549046077E-280</v>
      </c>
      <c r="C236" s="2"/>
      <c r="D236" s="2"/>
      <c r="E236" s="2"/>
    </row>
    <row r="237" customFormat="false" ht="15" hidden="false" customHeight="false" outlineLevel="0" collapsed="false">
      <c r="A237" s="2" t="n">
        <v>235</v>
      </c>
      <c r="B237" s="39" t="n">
        <f aca="false">IF(AND(A237&gt;=$E$3,A237&lt;=$E$2),BINOMDIST(A237,$E$2,$E$4,FALSE()),0)</f>
        <v>6.84350989019147E-283</v>
      </c>
      <c r="C237" s="2"/>
      <c r="D237" s="2"/>
      <c r="E237" s="2"/>
    </row>
    <row r="238" customFormat="false" ht="15" hidden="false" customHeight="false" outlineLevel="0" collapsed="false">
      <c r="A238" s="2" t="n">
        <v>236</v>
      </c>
      <c r="B238" s="39" t="n">
        <f aca="false">IF(AND(A238&gt;=$E$3,A238&lt;=$E$2),BINOMDIST(A238,$E$2,$E$4,FALSE()),0)</f>
        <v>3.42177473734116E-285</v>
      </c>
      <c r="C238" s="2"/>
      <c r="D238" s="2"/>
      <c r="E238" s="2"/>
    </row>
    <row r="239" customFormat="false" ht="15" hidden="false" customHeight="false" outlineLevel="0" collapsed="false">
      <c r="A239" s="2" t="n">
        <v>237</v>
      </c>
      <c r="B239" s="39" t="n">
        <f aca="false">IF(AND(A239&gt;=$E$3,A239&lt;=$E$2),BINOMDIST(A239,$E$2,$E$4,FALSE()),0)</f>
        <v>1.63553115748749E-287</v>
      </c>
      <c r="C239" s="2"/>
      <c r="D239" s="2"/>
      <c r="E239" s="2"/>
    </row>
    <row r="240" customFormat="false" ht="15" hidden="false" customHeight="false" outlineLevel="0" collapsed="false">
      <c r="A240" s="2" t="n">
        <v>238</v>
      </c>
      <c r="B240" s="39" t="n">
        <f aca="false">IF(AND(A240&gt;=$E$3,A240&lt;=$E$2),BINOMDIST(A240,$E$2,$E$4,FALSE()),0)</f>
        <v>7.46026426332744E-290</v>
      </c>
      <c r="C240" s="2"/>
      <c r="D240" s="2"/>
      <c r="E240" s="2"/>
    </row>
    <row r="241" customFormat="false" ht="15" hidden="false" customHeight="false" outlineLevel="0" collapsed="false">
      <c r="A241" s="2" t="n">
        <v>239</v>
      </c>
      <c r="B241" s="39" t="n">
        <f aca="false">IF(AND(A241&gt;=$E$3,A241&lt;=$E$2),BINOMDIST(A241,$E$2,$E$4,FALSE()),0)</f>
        <v>3.2413318912213E-292</v>
      </c>
      <c r="C241" s="2"/>
      <c r="D241" s="2"/>
      <c r="E241" s="2"/>
    </row>
    <row r="242" customFormat="false" ht="15" hidden="false" customHeight="false" outlineLevel="0" collapsed="false">
      <c r="A242" s="2" t="n">
        <v>240</v>
      </c>
      <c r="B242" s="39" t="n">
        <f aca="false">IF(AND(A242&gt;=$E$3,A242&lt;=$E$2),BINOMDIST(A242,$E$2,$E$4,FALSE()),0)</f>
        <v>1.33867781426086E-294</v>
      </c>
      <c r="C242" s="2"/>
      <c r="D242" s="2"/>
      <c r="E242" s="2"/>
    </row>
    <row r="243" customFormat="false" ht="15" hidden="false" customHeight="false" outlineLevel="0" collapsed="false">
      <c r="A243" s="2" t="n">
        <v>241</v>
      </c>
      <c r="B243" s="39" t="n">
        <f aca="false">IF(AND(A243&gt;=$E$3,A243&lt;=$E$2),BINOMDIST(A243,$E$2,$E$4,FALSE()),0)</f>
        <v>5.2436479928322E-297</v>
      </c>
      <c r="C243" s="2"/>
      <c r="D243" s="2"/>
      <c r="E243" s="2"/>
    </row>
    <row r="244" customFormat="false" ht="15" hidden="false" customHeight="false" outlineLevel="0" collapsed="false">
      <c r="A244" s="2" t="n">
        <v>242</v>
      </c>
      <c r="B244" s="39" t="n">
        <f aca="false">IF(AND(A244&gt;=$E$3,A244&lt;=$E$2),BINOMDIST(A244,$E$2,$E$4,FALSE()),0)</f>
        <v>1.94319451255045E-299</v>
      </c>
      <c r="C244" s="2"/>
      <c r="D244" s="2"/>
      <c r="E244" s="2"/>
    </row>
    <row r="245" customFormat="false" ht="15" hidden="false" customHeight="false" outlineLevel="0" collapsed="false">
      <c r="A245" s="2" t="n">
        <v>243</v>
      </c>
      <c r="B245" s="39" t="n">
        <f aca="false">IF(AND(A245&gt;=$E$3,A245&lt;=$E$2),BINOMDIST(A245,$E$2,$E$4,FALSE()),0)</f>
        <v>6.79402307523343E-302</v>
      </c>
      <c r="C245" s="2"/>
      <c r="D245" s="2"/>
      <c r="E245" s="2"/>
    </row>
    <row r="246" customFormat="false" ht="15" hidden="false" customHeight="false" outlineLevel="0" collapsed="false">
      <c r="A246" s="2" t="n">
        <v>244</v>
      </c>
      <c r="B246" s="39" t="n">
        <f aca="false">IF(AND(A246&gt;=$E$3,A246&lt;=$E$2),BINOMDIST(A246,$E$2,$E$4,FALSE()),0)</f>
        <v>2.2342441182299E-304</v>
      </c>
      <c r="C246" s="2"/>
      <c r="D246" s="2"/>
      <c r="E246" s="2"/>
    </row>
    <row r="247" customFormat="false" ht="15" hidden="false" customHeight="false" outlineLevel="0" collapsed="false">
      <c r="A247" s="2" t="n">
        <v>245</v>
      </c>
      <c r="B247" s="39" t="n">
        <f aca="false">IF(AND(A247&gt;=$E$3,A247&lt;=$E$2),BINOMDIST(A247,$E$2,$E$4,FALSE()),0)</f>
        <v>6.88698333811802E-307</v>
      </c>
      <c r="C247" s="2"/>
      <c r="D247" s="2"/>
      <c r="E247" s="2"/>
    </row>
    <row r="248" customFormat="false" ht="15" hidden="false" customHeight="false" outlineLevel="0" collapsed="false">
      <c r="A248" s="2" t="n">
        <v>246</v>
      </c>
      <c r="B248" s="39" t="n">
        <f aca="false">IF(AND(A248&gt;=$E$3,A248&lt;=$E$2),BINOMDIST(A248,$E$2,$E$4,FALSE()),0)</f>
        <v>1.98211886473224E-309</v>
      </c>
      <c r="C248" s="2"/>
      <c r="D248" s="2"/>
      <c r="E248" s="2"/>
    </row>
    <row r="249" customFormat="false" ht="15" hidden="false" customHeight="false" outlineLevel="0" collapsed="false">
      <c r="A249" s="2" t="n">
        <v>247</v>
      </c>
      <c r="B249" s="39" t="n">
        <f aca="false">IF(AND(A249&gt;=$E$3,A249&lt;=$E$2),BINOMDIST(A249,$E$2,$E$4,FALSE()),0)</f>
        <v>5.302800493596E-312</v>
      </c>
      <c r="C249" s="2"/>
      <c r="D249" s="2"/>
      <c r="E249" s="2"/>
    </row>
    <row r="250" customFormat="false" ht="15" hidden="false" customHeight="false" outlineLevel="0" collapsed="false">
      <c r="A250" s="2" t="n">
        <v>248</v>
      </c>
      <c r="B250" s="39" t="n">
        <f aca="false">IF(AND(A250&gt;=$E$3,A250&lt;=$E$2),BINOMDIST(A250,$E$2,$E$4,FALSE()),0)</f>
        <v>1.312023066E-314</v>
      </c>
      <c r="C250" s="2"/>
      <c r="D250" s="2"/>
      <c r="E250" s="2"/>
    </row>
    <row r="251" customFormat="false" ht="15" hidden="false" customHeight="false" outlineLevel="0" collapsed="false">
      <c r="A251" s="2" t="n">
        <v>249</v>
      </c>
      <c r="B251" s="39" t="n">
        <f aca="false">IF(AND(A251&gt;=$E$3,A251&lt;=$E$2),BINOMDIST(A251,$E$2,$E$4,FALSE()),0)</f>
        <v>2.9844747E-317</v>
      </c>
      <c r="C251" s="2"/>
      <c r="D251" s="2"/>
      <c r="E251" s="2"/>
    </row>
    <row r="252" customFormat="false" ht="15" hidden="false" customHeight="false" outlineLevel="0" collapsed="false">
      <c r="A252" s="2" t="n">
        <v>250</v>
      </c>
      <c r="B252" s="39" t="n">
        <f aca="false">IF(AND(A252&gt;=$E$3,A252&lt;=$E$2),BINOMDIST(A252,$E$2,$E$4,FALSE()),0)</f>
        <v>6.198E-320</v>
      </c>
      <c r="C252" s="2"/>
      <c r="D252" s="2"/>
      <c r="E252" s="2"/>
    </row>
    <row r="253" customFormat="false" ht="15" hidden="false" customHeight="false" outlineLevel="0" collapsed="false">
      <c r="A253" s="2" t="n">
        <v>251</v>
      </c>
      <c r="B253" s="39" t="n">
        <f aca="false">IF(AND(A253&gt;=$E$3,A253&lt;=$E$2),BINOMDIST(A253,$E$2,$E$4,FALSE()),0)</f>
        <v>1.2E-322</v>
      </c>
      <c r="C253" s="2"/>
      <c r="D253" s="2"/>
      <c r="E253" s="2"/>
    </row>
    <row r="254" customFormat="false" ht="15" hidden="false" customHeight="false" outlineLevel="0" collapsed="false">
      <c r="A254" s="2" t="n">
        <v>252</v>
      </c>
      <c r="B254" s="39" t="n">
        <f aca="false">IF(AND(A254&gt;=$E$3,A254&lt;=$E$2),BINOMDIST(A254,$E$2,$E$4,FALSE()),0)</f>
        <v>0</v>
      </c>
      <c r="C254" s="2"/>
      <c r="D254" s="2"/>
      <c r="E254" s="2"/>
    </row>
    <row r="255" customFormat="false" ht="15" hidden="false" customHeight="false" outlineLevel="0" collapsed="false">
      <c r="A255" s="2" t="n">
        <v>253</v>
      </c>
      <c r="B255" s="39" t="n">
        <f aca="false">IF(AND(A255&gt;=$E$3,A255&lt;=$E$2),BINOMDIST(A255,$E$2,$E$4,FALSE()),0)</f>
        <v>0</v>
      </c>
      <c r="C255" s="2"/>
      <c r="D255" s="2"/>
      <c r="E255" s="2"/>
    </row>
    <row r="256" customFormat="false" ht="15" hidden="false" customHeight="false" outlineLevel="0" collapsed="false">
      <c r="A256" s="2" t="n">
        <v>254</v>
      </c>
      <c r="B256" s="39" t="n">
        <f aca="false">IF(AND(A256&gt;=$E$3,A256&lt;=$E$2),BINOMDIST(A256,$E$2,$E$4,FALSE()),0)</f>
        <v>0</v>
      </c>
      <c r="C256" s="2"/>
      <c r="D256" s="2"/>
      <c r="E256" s="2"/>
    </row>
    <row r="257" customFormat="false" ht="15" hidden="false" customHeight="false" outlineLevel="0" collapsed="false">
      <c r="A257" s="2" t="n">
        <v>255</v>
      </c>
      <c r="B257" s="39" t="n">
        <f aca="false">IF(AND(A257&gt;=$E$3,A257&lt;=$E$2),BINOMDIST(A257,$E$2,$E$4,FALSE()),0)</f>
        <v>0</v>
      </c>
      <c r="C257" s="2"/>
      <c r="D257" s="2"/>
      <c r="E257" s="2"/>
    </row>
    <row r="258" customFormat="false" ht="15" hidden="false" customHeight="false" outlineLevel="0" collapsed="false">
      <c r="A258" s="2" t="n">
        <v>256</v>
      </c>
      <c r="B258" s="39" t="n">
        <f aca="false">IF(AND(A258&gt;=$E$3,A258&lt;=$E$2),BINOMDIST(A258,$E$2,$E$4,FALSE()),0)</f>
        <v>0</v>
      </c>
      <c r="C258" s="2"/>
      <c r="D258" s="2"/>
      <c r="E258" s="2"/>
    </row>
    <row r="259" customFormat="false" ht="15" hidden="false" customHeight="false" outlineLevel="0" collapsed="false">
      <c r="A259" s="2" t="n">
        <v>257</v>
      </c>
      <c r="B259" s="39" t="n">
        <f aca="false">IF(AND(A259&gt;=$E$3,A259&lt;=$E$2),BINOMDIST(A259,$E$2,$E$4,FALSE()),0)</f>
        <v>0</v>
      </c>
      <c r="C259" s="2"/>
      <c r="D259" s="2"/>
      <c r="E259" s="2"/>
    </row>
    <row r="260" customFormat="false" ht="15" hidden="false" customHeight="false" outlineLevel="0" collapsed="false">
      <c r="A260" s="2" t="n">
        <v>258</v>
      </c>
      <c r="B260" s="39" t="n">
        <f aca="false">IF(AND(A260&gt;=$E$3,A260&lt;=$E$2),BINOMDIST(A260,$E$2,$E$4,FALSE()),0)</f>
        <v>0</v>
      </c>
      <c r="C260" s="2"/>
      <c r="D260" s="2"/>
      <c r="E260" s="2"/>
    </row>
    <row r="261" customFormat="false" ht="15" hidden="false" customHeight="false" outlineLevel="0" collapsed="false">
      <c r="A261" s="2" t="n">
        <v>259</v>
      </c>
      <c r="B261" s="39" t="n">
        <f aca="false">IF(AND(A261&gt;=$E$3,A261&lt;=$E$2),BINOMDIST(A261,$E$2,$E$4,FALSE()),0)</f>
        <v>0</v>
      </c>
      <c r="C261" s="2"/>
      <c r="D261" s="2"/>
      <c r="E261" s="2"/>
    </row>
    <row r="262" customFormat="false" ht="15" hidden="false" customHeight="false" outlineLevel="0" collapsed="false">
      <c r="A262" s="2" t="n">
        <v>260</v>
      </c>
      <c r="B262" s="39" t="n">
        <f aca="false">IF(AND(A262&gt;=$E$3,A262&lt;=$E$2),BINOMDIST(A262,$E$2,$E$4,FALSE()),0)</f>
        <v>0</v>
      </c>
      <c r="C262" s="2"/>
      <c r="D262" s="2"/>
      <c r="E262" s="2"/>
    </row>
    <row r="263" customFormat="false" ht="15" hidden="false" customHeight="false" outlineLevel="0" collapsed="false">
      <c r="A263" s="2" t="n">
        <v>261</v>
      </c>
      <c r="B263" s="39" t="n">
        <f aca="false">IF(AND(A263&gt;=$E$3,A263&lt;=$E$2),BINOMDIST(A263,$E$2,$E$4,FALSE()),0)</f>
        <v>0</v>
      </c>
      <c r="C263" s="2"/>
      <c r="D263" s="2"/>
      <c r="E263" s="2"/>
    </row>
    <row r="264" customFormat="false" ht="15" hidden="false" customHeight="false" outlineLevel="0" collapsed="false">
      <c r="A264" s="2" t="n">
        <v>262</v>
      </c>
      <c r="B264" s="39" t="n">
        <f aca="false">IF(AND(A264&gt;=$E$3,A264&lt;=$E$2),BINOMDIST(A264,$E$2,$E$4,FALSE()),0)</f>
        <v>0</v>
      </c>
      <c r="C264" s="2"/>
      <c r="D264" s="2"/>
      <c r="E264" s="2"/>
    </row>
    <row r="265" customFormat="false" ht="15" hidden="false" customHeight="false" outlineLevel="0" collapsed="false">
      <c r="A265" s="2" t="n">
        <v>263</v>
      </c>
      <c r="B265" s="39" t="n">
        <f aca="false">IF(AND(A265&gt;=$E$3,A265&lt;=$E$2),BINOMDIST(A265,$E$2,$E$4,FALSE()),0)</f>
        <v>0</v>
      </c>
      <c r="C265" s="2"/>
      <c r="D265" s="2"/>
      <c r="E265" s="2"/>
    </row>
    <row r="266" customFormat="false" ht="15" hidden="false" customHeight="false" outlineLevel="0" collapsed="false">
      <c r="A266" s="2" t="n">
        <v>264</v>
      </c>
      <c r="B266" s="39" t="n">
        <f aca="false">IF(AND(A266&gt;=$E$3,A266&lt;=$E$2),BINOMDIST(A266,$E$2,$E$4,FALSE()),0)</f>
        <v>0</v>
      </c>
      <c r="C266" s="2"/>
      <c r="D266" s="2"/>
      <c r="E266" s="2"/>
    </row>
    <row r="267" customFormat="false" ht="15" hidden="false" customHeight="false" outlineLevel="0" collapsed="false">
      <c r="A267" s="2" t="n">
        <v>265</v>
      </c>
      <c r="B267" s="39" t="n">
        <f aca="false">IF(AND(A267&gt;=$E$3,A267&lt;=$E$2),BINOMDIST(A267,$E$2,$E$4,FALSE()),0)</f>
        <v>0</v>
      </c>
      <c r="C267" s="2"/>
      <c r="D267" s="2"/>
      <c r="E267" s="2"/>
    </row>
    <row r="268" customFormat="false" ht="15" hidden="false" customHeight="false" outlineLevel="0" collapsed="false">
      <c r="A268" s="2" t="n">
        <v>266</v>
      </c>
      <c r="B268" s="39" t="n">
        <f aca="false">IF(AND(A268&gt;=$E$3,A268&lt;=$E$2),BINOMDIST(A268,$E$2,$E$4,FALSE()),0)</f>
        <v>0</v>
      </c>
      <c r="C268" s="2"/>
      <c r="D268" s="2"/>
      <c r="E268" s="2"/>
    </row>
    <row r="269" customFormat="false" ht="15" hidden="false" customHeight="false" outlineLevel="0" collapsed="false">
      <c r="A269" s="2" t="n">
        <v>267</v>
      </c>
      <c r="B269" s="39" t="n">
        <f aca="false">IF(AND(A269&gt;=$E$3,A269&lt;=$E$2),BINOMDIST(A269,$E$2,$E$4,FALSE()),0)</f>
        <v>0</v>
      </c>
      <c r="C269" s="2"/>
      <c r="D269" s="2"/>
      <c r="E269" s="2"/>
    </row>
    <row r="270" customFormat="false" ht="15" hidden="false" customHeight="false" outlineLevel="0" collapsed="false">
      <c r="A270" s="2" t="n">
        <v>268</v>
      </c>
      <c r="B270" s="39" t="n">
        <f aca="false">IF(AND(A270&gt;=$E$3,A270&lt;=$E$2),BINOMDIST(A270,$E$2,$E$4,FALSE()),0)</f>
        <v>0</v>
      </c>
      <c r="C270" s="2"/>
      <c r="D270" s="2"/>
      <c r="E270" s="2"/>
    </row>
    <row r="271" customFormat="false" ht="15" hidden="false" customHeight="false" outlineLevel="0" collapsed="false">
      <c r="A271" s="2" t="n">
        <v>269</v>
      </c>
      <c r="B271" s="39" t="n">
        <f aca="false">IF(AND(A271&gt;=$E$3,A271&lt;=$E$2),BINOMDIST(A271,$E$2,$E$4,FALSE()),0)</f>
        <v>0</v>
      </c>
      <c r="C271" s="2"/>
      <c r="D271" s="2"/>
      <c r="E271" s="2"/>
    </row>
    <row r="272" customFormat="false" ht="15" hidden="false" customHeight="false" outlineLevel="0" collapsed="false">
      <c r="A272" s="2" t="n">
        <v>270</v>
      </c>
      <c r="B272" s="39" t="n">
        <f aca="false">IF(AND(A272&gt;=$E$3,A272&lt;=$E$2),BINOMDIST(A272,$E$2,$E$4,FALSE()),0)</f>
        <v>0</v>
      </c>
      <c r="C272" s="2"/>
      <c r="D272" s="2"/>
      <c r="E272" s="2"/>
    </row>
    <row r="273" customFormat="false" ht="15" hidden="false" customHeight="false" outlineLevel="0" collapsed="false">
      <c r="A273" s="2" t="n">
        <v>271</v>
      </c>
      <c r="B273" s="39" t="n">
        <f aca="false">IF(AND(A273&gt;=$E$3,A273&lt;=$E$2),BINOMDIST(A273,$E$2,$E$4,FALSE()),0)</f>
        <v>0</v>
      </c>
      <c r="C273" s="2"/>
      <c r="D273" s="2"/>
      <c r="E273" s="2"/>
    </row>
    <row r="274" customFormat="false" ht="15" hidden="false" customHeight="false" outlineLevel="0" collapsed="false">
      <c r="A274" s="2" t="n">
        <v>272</v>
      </c>
      <c r="B274" s="39" t="n">
        <f aca="false">IF(AND(A274&gt;=$E$3,A274&lt;=$E$2),BINOMDIST(A274,$E$2,$E$4,FALSE()),0)</f>
        <v>0</v>
      </c>
      <c r="C274" s="2"/>
      <c r="D274" s="2"/>
      <c r="E274" s="2"/>
    </row>
    <row r="275" customFormat="false" ht="15" hidden="false" customHeight="false" outlineLevel="0" collapsed="false">
      <c r="A275" s="2" t="n">
        <v>273</v>
      </c>
      <c r="B275" s="39" t="n">
        <f aca="false">IF(AND(A275&gt;=$E$3,A275&lt;=$E$2),BINOMDIST(A275,$E$2,$E$4,FALSE()),0)</f>
        <v>0</v>
      </c>
      <c r="C275" s="2"/>
      <c r="D275" s="2"/>
      <c r="E275" s="2"/>
    </row>
    <row r="276" customFormat="false" ht="15" hidden="false" customHeight="false" outlineLevel="0" collapsed="false">
      <c r="A276" s="2" t="n">
        <v>274</v>
      </c>
      <c r="B276" s="39" t="n">
        <f aca="false">IF(AND(A276&gt;=$E$3,A276&lt;=$E$2),BINOMDIST(A276,$E$2,$E$4,FALSE()),0)</f>
        <v>0</v>
      </c>
      <c r="C276" s="2"/>
      <c r="D276" s="2"/>
      <c r="E276" s="2"/>
    </row>
    <row r="277" customFormat="false" ht="15" hidden="false" customHeight="false" outlineLevel="0" collapsed="false">
      <c r="A277" s="2" t="n">
        <v>275</v>
      </c>
      <c r="B277" s="39" t="n">
        <f aca="false">IF(AND(A277&gt;=$E$3,A277&lt;=$E$2),BINOMDIST(A277,$E$2,$E$4,FALSE()),0)</f>
        <v>0</v>
      </c>
      <c r="C277" s="2"/>
      <c r="D277" s="2"/>
      <c r="E277" s="2"/>
    </row>
    <row r="278" customFormat="false" ht="15" hidden="false" customHeight="false" outlineLevel="0" collapsed="false">
      <c r="A278" s="2" t="n">
        <v>276</v>
      </c>
      <c r="B278" s="39" t="n">
        <f aca="false">IF(AND(A278&gt;=$E$3,A278&lt;=$E$2),BINOMDIST(A278,$E$2,$E$4,FALSE()),0)</f>
        <v>0</v>
      </c>
      <c r="C278" s="2"/>
      <c r="D278" s="2"/>
      <c r="E278" s="2"/>
    </row>
    <row r="279" customFormat="false" ht="15" hidden="false" customHeight="false" outlineLevel="0" collapsed="false">
      <c r="A279" s="2" t="n">
        <v>277</v>
      </c>
      <c r="B279" s="39" t="n">
        <f aca="false">IF(AND(A279&gt;=$E$3,A279&lt;=$E$2),BINOMDIST(A279,$E$2,$E$4,FALSE()),0)</f>
        <v>0</v>
      </c>
      <c r="C279" s="2"/>
      <c r="D279" s="2"/>
      <c r="E279" s="2"/>
    </row>
    <row r="280" customFormat="false" ht="15" hidden="false" customHeight="false" outlineLevel="0" collapsed="false">
      <c r="A280" s="2" t="n">
        <v>278</v>
      </c>
      <c r="B280" s="39" t="n">
        <f aca="false">IF(AND(A280&gt;=$E$3,A280&lt;=$E$2),BINOMDIST(A280,$E$2,$E$4,FALSE()),0)</f>
        <v>0</v>
      </c>
      <c r="C280" s="2"/>
      <c r="D280" s="2"/>
      <c r="E280" s="2"/>
    </row>
    <row r="281" customFormat="false" ht="15" hidden="false" customHeight="false" outlineLevel="0" collapsed="false">
      <c r="A281" s="2" t="n">
        <v>279</v>
      </c>
      <c r="B281" s="39" t="n">
        <f aca="false">IF(AND(A281&gt;=$E$3,A281&lt;=$E$2),BINOMDIST(A281,$E$2,$E$4,FALSE()),0)</f>
        <v>0</v>
      </c>
      <c r="C281" s="2"/>
      <c r="D281" s="2"/>
      <c r="E281" s="2"/>
    </row>
    <row r="282" customFormat="false" ht="15" hidden="false" customHeight="false" outlineLevel="0" collapsed="false">
      <c r="A282" s="2" t="n">
        <v>280</v>
      </c>
      <c r="B282" s="39" t="n">
        <f aca="false">IF(AND(A282&gt;=$E$3,A282&lt;=$E$2),BINOMDIST(A282,$E$2,$E$4,FALSE()),0)</f>
        <v>0</v>
      </c>
      <c r="C282" s="2"/>
      <c r="D282" s="2"/>
      <c r="E282" s="2"/>
    </row>
    <row r="283" customFormat="false" ht="15" hidden="false" customHeight="false" outlineLevel="0" collapsed="false">
      <c r="A283" s="2" t="n">
        <v>281</v>
      </c>
      <c r="B283" s="39" t="n">
        <f aca="false">IF(AND(A283&gt;=$E$3,A283&lt;=$E$2),BINOMDIST(A283,$E$2,$E$4,FALSE()),0)</f>
        <v>0</v>
      </c>
      <c r="C283" s="2"/>
      <c r="D283" s="2"/>
      <c r="E283" s="2"/>
    </row>
    <row r="284" customFormat="false" ht="15" hidden="false" customHeight="false" outlineLevel="0" collapsed="false">
      <c r="A284" s="2" t="n">
        <v>282</v>
      </c>
      <c r="B284" s="39" t="n">
        <f aca="false">IF(AND(A284&gt;=$E$3,A284&lt;=$E$2),BINOMDIST(A284,$E$2,$E$4,FALSE()),0)</f>
        <v>0</v>
      </c>
      <c r="C284" s="2"/>
      <c r="D284" s="2"/>
      <c r="E284" s="2"/>
    </row>
    <row r="285" customFormat="false" ht="15" hidden="false" customHeight="false" outlineLevel="0" collapsed="false">
      <c r="A285" s="2" t="n">
        <v>283</v>
      </c>
      <c r="B285" s="39" t="n">
        <f aca="false">IF(AND(A285&gt;=$E$3,A285&lt;=$E$2),BINOMDIST(A285,$E$2,$E$4,FALSE()),0)</f>
        <v>0</v>
      </c>
      <c r="C285" s="2"/>
      <c r="D285" s="2"/>
      <c r="E285" s="2"/>
    </row>
    <row r="286" customFormat="false" ht="15" hidden="false" customHeight="false" outlineLevel="0" collapsed="false">
      <c r="A286" s="2" t="n">
        <v>284</v>
      </c>
      <c r="B286" s="39" t="n">
        <f aca="false">IF(AND(A286&gt;=$E$3,A286&lt;=$E$2),BINOMDIST(A286,$E$2,$E$4,FALSE()),0)</f>
        <v>0</v>
      </c>
      <c r="C286" s="2"/>
      <c r="D286" s="2"/>
      <c r="E286" s="2"/>
    </row>
    <row r="287" customFormat="false" ht="15" hidden="false" customHeight="false" outlineLevel="0" collapsed="false">
      <c r="A287" s="2" t="n">
        <v>285</v>
      </c>
      <c r="B287" s="39" t="n">
        <f aca="false">IF(AND(A287&gt;=$E$3,A287&lt;=$E$2),BINOMDIST(A287,$E$2,$E$4,FALSE()),0)</f>
        <v>0</v>
      </c>
      <c r="C287" s="2"/>
      <c r="D287" s="2"/>
      <c r="E287" s="2"/>
    </row>
    <row r="288" customFormat="false" ht="15" hidden="false" customHeight="false" outlineLevel="0" collapsed="false">
      <c r="A288" s="2" t="n">
        <v>286</v>
      </c>
      <c r="B288" s="39" t="n">
        <f aca="false">IF(AND(A288&gt;=$E$3,A288&lt;=$E$2),BINOMDIST(A288,$E$2,$E$4,FALSE()),0)</f>
        <v>0</v>
      </c>
      <c r="C288" s="2"/>
      <c r="D288" s="2"/>
      <c r="E288" s="2"/>
    </row>
    <row r="289" customFormat="false" ht="15" hidden="false" customHeight="false" outlineLevel="0" collapsed="false">
      <c r="A289" s="2" t="n">
        <v>287</v>
      </c>
      <c r="B289" s="39" t="n">
        <f aca="false">IF(AND(A289&gt;=$E$3,A289&lt;=$E$2),BINOMDIST(A289,$E$2,$E$4,FALSE()),0)</f>
        <v>0</v>
      </c>
      <c r="C289" s="2"/>
      <c r="D289" s="2"/>
      <c r="E289" s="2"/>
    </row>
    <row r="290" customFormat="false" ht="15" hidden="false" customHeight="false" outlineLevel="0" collapsed="false">
      <c r="A290" s="2" t="n">
        <v>288</v>
      </c>
      <c r="B290" s="39" t="n">
        <f aca="false">IF(AND(A290&gt;=$E$3,A290&lt;=$E$2),BINOMDIST(A290,$E$2,$E$4,FALSE()),0)</f>
        <v>0</v>
      </c>
      <c r="C290" s="2"/>
      <c r="D290" s="2"/>
      <c r="E290" s="2"/>
    </row>
    <row r="291" customFormat="false" ht="15" hidden="false" customHeight="false" outlineLevel="0" collapsed="false">
      <c r="A291" s="2" t="n">
        <v>289</v>
      </c>
      <c r="B291" s="39" t="n">
        <f aca="false">IF(AND(A291&gt;=$E$3,A291&lt;=$E$2),BINOMDIST(A291,$E$2,$E$4,FALSE()),0)</f>
        <v>0</v>
      </c>
      <c r="C291" s="2"/>
      <c r="D291" s="2"/>
      <c r="E291" s="2"/>
    </row>
    <row r="292" customFormat="false" ht="15" hidden="false" customHeight="false" outlineLevel="0" collapsed="false">
      <c r="A292" s="2" t="n">
        <v>290</v>
      </c>
      <c r="B292" s="39" t="n">
        <f aca="false">IF(AND(A292&gt;=$E$3,A292&lt;=$E$2),BINOMDIST(A292,$E$2,$E$4,FALSE()),0)</f>
        <v>0</v>
      </c>
      <c r="C292" s="2"/>
      <c r="D292" s="2"/>
      <c r="E292" s="2"/>
    </row>
    <row r="293" customFormat="false" ht="15" hidden="false" customHeight="false" outlineLevel="0" collapsed="false">
      <c r="A293" s="2" t="n">
        <v>291</v>
      </c>
      <c r="B293" s="39" t="n">
        <f aca="false">IF(AND(A293&gt;=$E$3,A293&lt;=$E$2),BINOMDIST(A293,$E$2,$E$4,FALSE()),0)</f>
        <v>0</v>
      </c>
      <c r="C293" s="2"/>
      <c r="D293" s="2"/>
      <c r="E293" s="2"/>
    </row>
    <row r="294" customFormat="false" ht="15" hidden="false" customHeight="false" outlineLevel="0" collapsed="false">
      <c r="A294" s="2" t="n">
        <v>292</v>
      </c>
      <c r="B294" s="39" t="n">
        <f aca="false">IF(AND(A294&gt;=$E$3,A294&lt;=$E$2),BINOMDIST(A294,$E$2,$E$4,FALSE()),0)</f>
        <v>0</v>
      </c>
      <c r="C294" s="2"/>
      <c r="D294" s="2"/>
      <c r="E294" s="2"/>
    </row>
    <row r="295" customFormat="false" ht="15" hidden="false" customHeight="false" outlineLevel="0" collapsed="false">
      <c r="A295" s="2" t="n">
        <v>293</v>
      </c>
      <c r="B295" s="39" t="n">
        <f aca="false">IF(AND(A295&gt;=$E$3,A295&lt;=$E$2),BINOMDIST(A295,$E$2,$E$4,FALSE()),0)</f>
        <v>0</v>
      </c>
      <c r="C295" s="2"/>
      <c r="D295" s="2"/>
      <c r="E295" s="2"/>
    </row>
    <row r="296" customFormat="false" ht="15" hidden="false" customHeight="false" outlineLevel="0" collapsed="false">
      <c r="A296" s="2" t="n">
        <v>294</v>
      </c>
      <c r="B296" s="39" t="n">
        <f aca="false">IF(AND(A296&gt;=$E$3,A296&lt;=$E$2),BINOMDIST(A296,$E$2,$E$4,FALSE()),0)</f>
        <v>0</v>
      </c>
      <c r="C296" s="2"/>
      <c r="D296" s="2"/>
      <c r="E296" s="2"/>
    </row>
    <row r="297" customFormat="false" ht="15" hidden="false" customHeight="false" outlineLevel="0" collapsed="false">
      <c r="A297" s="2" t="n">
        <v>295</v>
      </c>
      <c r="B297" s="39" t="n">
        <f aca="false">IF(AND(A297&gt;=$E$3,A297&lt;=$E$2),BINOMDIST(A297,$E$2,$E$4,FALSE()),0)</f>
        <v>0</v>
      </c>
      <c r="C297" s="2"/>
      <c r="D297" s="2"/>
      <c r="E297" s="2"/>
    </row>
    <row r="298" customFormat="false" ht="15" hidden="false" customHeight="false" outlineLevel="0" collapsed="false">
      <c r="A298" s="2" t="n">
        <v>296</v>
      </c>
      <c r="B298" s="39" t="n">
        <f aca="false">IF(AND(A298&gt;=$E$3,A298&lt;=$E$2),BINOMDIST(A298,$E$2,$E$4,FALSE()),0)</f>
        <v>0</v>
      </c>
      <c r="C298" s="2"/>
      <c r="D298" s="2"/>
      <c r="E298" s="2"/>
    </row>
    <row r="299" customFormat="false" ht="15" hidden="false" customHeight="false" outlineLevel="0" collapsed="false">
      <c r="A299" s="2" t="n">
        <v>297</v>
      </c>
      <c r="B299" s="39" t="n">
        <f aca="false">IF(AND(A299&gt;=$E$3,A299&lt;=$E$2),BINOMDIST(A299,$E$2,$E$4,FALSE()),0)</f>
        <v>0</v>
      </c>
      <c r="C299" s="2"/>
      <c r="D299" s="2"/>
      <c r="E299" s="2"/>
    </row>
    <row r="300" customFormat="false" ht="15" hidden="false" customHeight="false" outlineLevel="0" collapsed="false">
      <c r="A300" s="2" t="n">
        <v>298</v>
      </c>
      <c r="B300" s="39" t="n">
        <f aca="false">IF(AND(A300&gt;=$E$3,A300&lt;=$E$2),BINOMDIST(A300,$E$2,$E$4,FALSE()),0)</f>
        <v>0</v>
      </c>
      <c r="C300" s="2"/>
      <c r="D300" s="2"/>
      <c r="E300" s="2"/>
    </row>
    <row r="301" customFormat="false" ht="15" hidden="false" customHeight="false" outlineLevel="0" collapsed="false">
      <c r="A301" s="2" t="n">
        <v>299</v>
      </c>
      <c r="B301" s="39" t="n">
        <f aca="false">IF(AND(A301&gt;=$E$3,A301&lt;=$E$2),BINOMDIST(A301,$E$2,$E$4,FALSE()),0)</f>
        <v>0</v>
      </c>
      <c r="C301" s="2"/>
      <c r="D301" s="2"/>
      <c r="E301" s="2"/>
    </row>
    <row r="302" customFormat="false" ht="15" hidden="false" customHeight="false" outlineLevel="0" collapsed="false">
      <c r="A302" s="2" t="n">
        <v>300</v>
      </c>
      <c r="B302" s="39" t="n">
        <f aca="false">IF(AND(A302&gt;=$E$3,A302&lt;=$E$2),BINOMDIST(A302,$E$2,$E$4,FALSE()),0)</f>
        <v>0</v>
      </c>
      <c r="C302" s="2"/>
      <c r="D302" s="2"/>
      <c r="E302" s="2"/>
    </row>
    <row r="303" customFormat="false" ht="15" hidden="false" customHeight="false" outlineLevel="0" collapsed="false">
      <c r="A303" s="2" t="n">
        <v>301</v>
      </c>
      <c r="B303" s="39" t="n">
        <f aca="false">IF(AND(A303&gt;=$E$3,A303&lt;=$E$2),BINOMDIST(A303,$E$2,$E$4,FALSE()),0)</f>
        <v>0</v>
      </c>
      <c r="C303" s="2"/>
      <c r="D303" s="2"/>
      <c r="E303" s="2"/>
    </row>
    <row r="304" customFormat="false" ht="15" hidden="false" customHeight="false" outlineLevel="0" collapsed="false">
      <c r="A304" s="2" t="n">
        <v>302</v>
      </c>
      <c r="B304" s="39" t="n">
        <f aca="false">IF(AND(A304&gt;=$E$3,A304&lt;=$E$2),BINOMDIST(A304,$E$2,$E$4,FALSE()),0)</f>
        <v>0</v>
      </c>
      <c r="C304" s="2"/>
      <c r="D304" s="2"/>
      <c r="E304" s="2"/>
    </row>
    <row r="305" customFormat="false" ht="15" hidden="false" customHeight="false" outlineLevel="0" collapsed="false">
      <c r="A305" s="2" t="n">
        <v>303</v>
      </c>
      <c r="B305" s="39" t="n">
        <f aca="false">IF(AND(A305&gt;=$E$3,A305&lt;=$E$2),BINOMDIST(A305,$E$2,$E$4,FALSE()),0)</f>
        <v>0</v>
      </c>
      <c r="C305" s="2"/>
      <c r="D305" s="2"/>
      <c r="E305" s="2"/>
    </row>
    <row r="306" customFormat="false" ht="15" hidden="false" customHeight="false" outlineLevel="0" collapsed="false">
      <c r="A306" s="2" t="n">
        <v>304</v>
      </c>
      <c r="B306" s="39" t="n">
        <f aca="false">IF(AND(A306&gt;=$E$3,A306&lt;=$E$2),BINOMDIST(A306,$E$2,$E$4,FALSE()),0)</f>
        <v>0</v>
      </c>
      <c r="C306" s="2"/>
      <c r="D306" s="2"/>
      <c r="E306" s="2"/>
    </row>
    <row r="307" customFormat="false" ht="15" hidden="false" customHeight="false" outlineLevel="0" collapsed="false">
      <c r="A307" s="2" t="n">
        <v>305</v>
      </c>
      <c r="B307" s="39" t="n">
        <f aca="false">IF(AND(A307&gt;=$E$3,A307&lt;=$E$2),BINOMDIST(A307,$E$2,$E$4,FALSE()),0)</f>
        <v>0</v>
      </c>
      <c r="C307" s="2"/>
      <c r="D307" s="2"/>
      <c r="E307" s="2"/>
    </row>
    <row r="308" customFormat="false" ht="15" hidden="false" customHeight="false" outlineLevel="0" collapsed="false">
      <c r="A308" s="2" t="n">
        <v>306</v>
      </c>
      <c r="B308" s="39" t="n">
        <f aca="false">IF(AND(A308&gt;=$E$3,A308&lt;=$E$2),BINOMDIST(A308,$E$2,$E$4,FALSE()),0)</f>
        <v>0</v>
      </c>
      <c r="C308" s="2"/>
      <c r="D308" s="2"/>
      <c r="E308" s="2"/>
    </row>
    <row r="309" customFormat="false" ht="15" hidden="false" customHeight="false" outlineLevel="0" collapsed="false">
      <c r="A309" s="2" t="n">
        <v>307</v>
      </c>
      <c r="B309" s="39" t="n">
        <f aca="false">IF(AND(A309&gt;=$E$3,A309&lt;=$E$2),BINOMDIST(A309,$E$2,$E$4,FALSE()),0)</f>
        <v>0</v>
      </c>
      <c r="C309" s="2"/>
      <c r="D309" s="2"/>
      <c r="E309" s="2"/>
    </row>
    <row r="310" customFormat="false" ht="15" hidden="false" customHeight="false" outlineLevel="0" collapsed="false">
      <c r="A310" s="2" t="n">
        <v>308</v>
      </c>
      <c r="B310" s="39" t="n">
        <f aca="false">IF(AND(A310&gt;=$E$3,A310&lt;=$E$2),BINOMDIST(A310,$E$2,$E$4,FALSE()),0)</f>
        <v>0</v>
      </c>
      <c r="C310" s="2"/>
      <c r="D310" s="2"/>
      <c r="E310" s="2"/>
    </row>
    <row r="311" customFormat="false" ht="15" hidden="false" customHeight="false" outlineLevel="0" collapsed="false">
      <c r="A311" s="2" t="n">
        <v>309</v>
      </c>
      <c r="B311" s="39" t="n">
        <f aca="false">IF(AND(A311&gt;=$E$3,A311&lt;=$E$2),BINOMDIST(A311,$E$2,$E$4,FALSE()),0)</f>
        <v>0</v>
      </c>
      <c r="C311" s="2"/>
      <c r="D311" s="2"/>
      <c r="E311" s="2"/>
    </row>
    <row r="312" customFormat="false" ht="15" hidden="false" customHeight="false" outlineLevel="0" collapsed="false">
      <c r="A312" s="2" t="n">
        <v>310</v>
      </c>
      <c r="B312" s="39" t="n">
        <f aca="false">IF(AND(A312&gt;=$E$3,A312&lt;=$E$2),BINOMDIST(A312,$E$2,$E$4,FALSE()),0)</f>
        <v>0</v>
      </c>
      <c r="C312" s="2"/>
      <c r="D312" s="2"/>
      <c r="E312" s="2"/>
    </row>
    <row r="313" customFormat="false" ht="15" hidden="false" customHeight="false" outlineLevel="0" collapsed="false">
      <c r="A313" s="2" t="n">
        <v>311</v>
      </c>
      <c r="B313" s="39" t="n">
        <f aca="false">IF(AND(A313&gt;=$E$3,A313&lt;=$E$2),BINOMDIST(A313,$E$2,$E$4,FALSE()),0)</f>
        <v>0</v>
      </c>
      <c r="C313" s="2"/>
      <c r="D313" s="2"/>
      <c r="E313" s="2"/>
    </row>
    <row r="314" customFormat="false" ht="15" hidden="false" customHeight="false" outlineLevel="0" collapsed="false">
      <c r="A314" s="2" t="n">
        <v>312</v>
      </c>
      <c r="B314" s="39" t="n">
        <f aca="false">IF(AND(A314&gt;=$E$3,A314&lt;=$E$2),BINOMDIST(A314,$E$2,$E$4,FALSE()),0)</f>
        <v>0</v>
      </c>
      <c r="C314" s="2"/>
      <c r="D314" s="2"/>
      <c r="E314" s="2"/>
    </row>
    <row r="315" customFormat="false" ht="15" hidden="false" customHeight="false" outlineLevel="0" collapsed="false">
      <c r="A315" s="2" t="n">
        <v>313</v>
      </c>
      <c r="B315" s="39" t="n">
        <f aca="false">IF(AND(A315&gt;=$E$3,A315&lt;=$E$2),BINOMDIST(A315,$E$2,$E$4,FALSE()),0)</f>
        <v>0</v>
      </c>
      <c r="C315" s="2"/>
      <c r="D315" s="2"/>
      <c r="E315" s="2"/>
    </row>
    <row r="316" customFormat="false" ht="15" hidden="false" customHeight="false" outlineLevel="0" collapsed="false">
      <c r="A316" s="2" t="n">
        <v>314</v>
      </c>
      <c r="B316" s="39" t="n">
        <f aca="false">IF(AND(A316&gt;=$E$3,A316&lt;=$E$2),BINOMDIST(A316,$E$2,$E$4,FALSE()),0)</f>
        <v>0</v>
      </c>
      <c r="C316" s="2"/>
      <c r="D316" s="2"/>
      <c r="E316" s="2"/>
    </row>
    <row r="317" customFormat="false" ht="15" hidden="false" customHeight="false" outlineLevel="0" collapsed="false">
      <c r="A317" s="2" t="n">
        <v>315</v>
      </c>
      <c r="B317" s="39" t="n">
        <f aca="false">IF(AND(A317&gt;=$E$3,A317&lt;=$E$2),BINOMDIST(A317,$E$2,$E$4,FALSE()),0)</f>
        <v>0</v>
      </c>
      <c r="C317" s="2"/>
      <c r="D317" s="2"/>
      <c r="E317" s="2"/>
    </row>
    <row r="318" customFormat="false" ht="15" hidden="false" customHeight="false" outlineLevel="0" collapsed="false">
      <c r="A318" s="2" t="n">
        <v>316</v>
      </c>
      <c r="B318" s="39" t="n">
        <f aca="false">IF(AND(A318&gt;=$E$3,A318&lt;=$E$2),BINOMDIST(A318,$E$2,$E$4,FALSE()),0)</f>
        <v>0</v>
      </c>
      <c r="C318" s="2"/>
      <c r="D318" s="2"/>
      <c r="E318" s="2"/>
    </row>
    <row r="319" customFormat="false" ht="15" hidden="false" customHeight="false" outlineLevel="0" collapsed="false">
      <c r="A319" s="2" t="n">
        <v>317</v>
      </c>
      <c r="B319" s="39" t="n">
        <f aca="false">IF(AND(A319&gt;=$E$3,A319&lt;=$E$2),BINOMDIST(A319,$E$2,$E$4,FALSE()),0)</f>
        <v>0</v>
      </c>
      <c r="C319" s="2"/>
      <c r="D319" s="2"/>
      <c r="E319" s="2"/>
    </row>
    <row r="320" customFormat="false" ht="15" hidden="false" customHeight="false" outlineLevel="0" collapsed="false">
      <c r="A320" s="2" t="n">
        <v>318</v>
      </c>
      <c r="B320" s="39" t="n">
        <f aca="false">IF(AND(A320&gt;=$E$3,A320&lt;=$E$2),BINOMDIST(A320,$E$2,$E$4,FALSE()),0)</f>
        <v>0</v>
      </c>
      <c r="C320" s="2"/>
      <c r="D320" s="2"/>
      <c r="E320" s="2"/>
    </row>
    <row r="321" customFormat="false" ht="15" hidden="false" customHeight="false" outlineLevel="0" collapsed="false">
      <c r="A321" s="2" t="n">
        <v>319</v>
      </c>
      <c r="B321" s="39" t="n">
        <f aca="false">IF(AND(A321&gt;=$E$3,A321&lt;=$E$2),BINOMDIST(A321,$E$2,$E$4,FALSE()),0)</f>
        <v>0</v>
      </c>
      <c r="C321" s="2"/>
      <c r="D321" s="2"/>
      <c r="E321" s="2"/>
    </row>
    <row r="322" customFormat="false" ht="15" hidden="false" customHeight="false" outlineLevel="0" collapsed="false">
      <c r="A322" s="2" t="n">
        <v>320</v>
      </c>
      <c r="B322" s="39" t="n">
        <f aca="false">IF(AND(A322&gt;=$E$3,A322&lt;=$E$2),BINOMDIST(A322,$E$2,$E$4,FALSE()),0)</f>
        <v>0</v>
      </c>
      <c r="C322" s="2"/>
      <c r="D322" s="2"/>
      <c r="E322" s="2"/>
    </row>
    <row r="323" customFormat="false" ht="15" hidden="false" customHeight="false" outlineLevel="0" collapsed="false">
      <c r="A323" s="2" t="n">
        <v>321</v>
      </c>
      <c r="B323" s="39" t="n">
        <f aca="false">IF(AND(A323&gt;=$E$3,A323&lt;=$E$2),BINOMDIST(A323,$E$2,$E$4,FALSE()),0)</f>
        <v>0</v>
      </c>
      <c r="C323" s="2"/>
      <c r="D323" s="2"/>
      <c r="E323" s="2"/>
    </row>
    <row r="324" customFormat="false" ht="15" hidden="false" customHeight="false" outlineLevel="0" collapsed="false">
      <c r="A324" s="2" t="n">
        <v>322</v>
      </c>
      <c r="B324" s="39" t="n">
        <f aca="false">IF(AND(A324&gt;=$E$3,A324&lt;=$E$2),BINOMDIST(A324,$E$2,$E$4,FALSE()),0)</f>
        <v>0</v>
      </c>
      <c r="C324" s="2"/>
      <c r="D324" s="2"/>
      <c r="E324" s="2"/>
    </row>
    <row r="325" customFormat="false" ht="15" hidden="false" customHeight="false" outlineLevel="0" collapsed="false">
      <c r="A325" s="2" t="n">
        <v>323</v>
      </c>
      <c r="B325" s="39" t="n">
        <f aca="false">IF(AND(A325&gt;=$E$3,A325&lt;=$E$2),BINOMDIST(A325,$E$2,$E$4,FALSE()),0)</f>
        <v>0</v>
      </c>
      <c r="C325" s="2"/>
      <c r="D325" s="2"/>
      <c r="E325" s="2"/>
    </row>
    <row r="326" customFormat="false" ht="15" hidden="false" customHeight="false" outlineLevel="0" collapsed="false">
      <c r="A326" s="2" t="n">
        <v>324</v>
      </c>
      <c r="B326" s="39" t="n">
        <f aca="false">IF(AND(A326&gt;=$E$3,A326&lt;=$E$2),BINOMDIST(A326,$E$2,$E$4,FALSE()),0)</f>
        <v>0</v>
      </c>
      <c r="C326" s="2"/>
      <c r="D326" s="2"/>
      <c r="E326" s="2"/>
    </row>
    <row r="327" customFormat="false" ht="15" hidden="false" customHeight="false" outlineLevel="0" collapsed="false">
      <c r="A327" s="2" t="n">
        <v>325</v>
      </c>
      <c r="B327" s="39" t="n">
        <f aca="false">IF(AND(A327&gt;=$E$3,A327&lt;=$E$2),BINOMDIST(A327,$E$2,$E$4,FALSE()),0)</f>
        <v>0</v>
      </c>
      <c r="C327" s="2"/>
      <c r="D327" s="2"/>
      <c r="E327" s="2"/>
    </row>
    <row r="328" customFormat="false" ht="15" hidden="false" customHeight="false" outlineLevel="0" collapsed="false">
      <c r="A328" s="2" t="n">
        <v>326</v>
      </c>
      <c r="B328" s="39" t="n">
        <f aca="false">IF(AND(A328&gt;=$E$3,A328&lt;=$E$2),BINOMDIST(A328,$E$2,$E$4,FALSE()),0)</f>
        <v>0</v>
      </c>
      <c r="C328" s="2"/>
      <c r="D328" s="2"/>
      <c r="E328" s="2"/>
    </row>
    <row r="329" customFormat="false" ht="15" hidden="false" customHeight="false" outlineLevel="0" collapsed="false">
      <c r="A329" s="2" t="n">
        <v>327</v>
      </c>
      <c r="B329" s="39" t="n">
        <f aca="false">IF(AND(A329&gt;=$E$3,A329&lt;=$E$2),BINOMDIST(A329,$E$2,$E$4,FALSE()),0)</f>
        <v>0</v>
      </c>
      <c r="C329" s="2"/>
      <c r="D329" s="2"/>
      <c r="E329" s="2"/>
    </row>
    <row r="330" customFormat="false" ht="15" hidden="false" customHeight="false" outlineLevel="0" collapsed="false">
      <c r="A330" s="2" t="n">
        <v>328</v>
      </c>
      <c r="B330" s="39" t="n">
        <f aca="false">IF(AND(A330&gt;=$E$3,A330&lt;=$E$2),BINOMDIST(A330,$E$2,$E$4,FALSE()),0)</f>
        <v>0</v>
      </c>
      <c r="C330" s="2"/>
      <c r="D330" s="2"/>
      <c r="E330" s="2"/>
    </row>
    <row r="331" customFormat="false" ht="15" hidden="false" customHeight="false" outlineLevel="0" collapsed="false">
      <c r="A331" s="2" t="n">
        <v>329</v>
      </c>
      <c r="B331" s="39" t="n">
        <f aca="false">IF(AND(A331&gt;=$E$3,A331&lt;=$E$2),BINOMDIST(A331,$E$2,$E$4,FALSE()),0)</f>
        <v>0</v>
      </c>
      <c r="C331" s="2"/>
      <c r="D331" s="2"/>
      <c r="E331" s="2"/>
    </row>
    <row r="332" customFormat="false" ht="15" hidden="false" customHeight="false" outlineLevel="0" collapsed="false">
      <c r="A332" s="2" t="n">
        <v>330</v>
      </c>
      <c r="B332" s="39" t="n">
        <f aca="false">IF(AND(A332&gt;=$E$3,A332&lt;=$E$2),BINOMDIST(A332,$E$2,$E$4,FALSE()),0)</f>
        <v>0</v>
      </c>
      <c r="C332" s="2"/>
      <c r="D332" s="2"/>
      <c r="E332" s="2"/>
    </row>
    <row r="333" customFormat="false" ht="15" hidden="false" customHeight="false" outlineLevel="0" collapsed="false">
      <c r="A333" s="2" t="n">
        <v>331</v>
      </c>
      <c r="B333" s="39" t="n">
        <f aca="false">IF(AND(A333&gt;=$E$3,A333&lt;=$E$2),BINOMDIST(A333,$E$2,$E$4,FALSE()),0)</f>
        <v>0</v>
      </c>
      <c r="C333" s="2"/>
      <c r="D333" s="2"/>
      <c r="E333" s="2"/>
    </row>
    <row r="334" customFormat="false" ht="15" hidden="false" customHeight="false" outlineLevel="0" collapsed="false">
      <c r="A334" s="2" t="n">
        <v>332</v>
      </c>
      <c r="B334" s="39" t="n">
        <f aca="false">IF(AND(A334&gt;=$E$3,A334&lt;=$E$2),BINOMDIST(A334,$E$2,$E$4,FALSE()),0)</f>
        <v>0</v>
      </c>
      <c r="C334" s="2"/>
      <c r="D334" s="2"/>
      <c r="E334" s="2"/>
    </row>
    <row r="335" customFormat="false" ht="15" hidden="false" customHeight="false" outlineLevel="0" collapsed="false">
      <c r="A335" s="2" t="n">
        <v>333</v>
      </c>
      <c r="B335" s="39" t="n">
        <f aca="false">IF(AND(A335&gt;=$E$3,A335&lt;=$E$2),BINOMDIST(A335,$E$2,$E$4,FALSE()),0)</f>
        <v>0</v>
      </c>
      <c r="C335" s="2"/>
      <c r="D335" s="2"/>
      <c r="E335" s="2"/>
    </row>
    <row r="336" customFormat="false" ht="15" hidden="false" customHeight="false" outlineLevel="0" collapsed="false">
      <c r="A336" s="2" t="n">
        <v>334</v>
      </c>
      <c r="B336" s="39" t="n">
        <f aca="false">IF(AND(A336&gt;=$E$3,A336&lt;=$E$2),BINOMDIST(A336,$E$2,$E$4,FALSE()),0)</f>
        <v>0</v>
      </c>
      <c r="C336" s="2"/>
      <c r="D336" s="2"/>
      <c r="E336" s="2"/>
    </row>
    <row r="337" customFormat="false" ht="15" hidden="false" customHeight="false" outlineLevel="0" collapsed="false">
      <c r="A337" s="2" t="n">
        <v>335</v>
      </c>
      <c r="B337" s="39" t="n">
        <f aca="false">IF(AND(A337&gt;=$E$3,A337&lt;=$E$2),BINOMDIST(A337,$E$2,$E$4,FALSE()),0)</f>
        <v>0</v>
      </c>
      <c r="C337" s="2"/>
      <c r="D337" s="2"/>
      <c r="E337" s="2"/>
    </row>
    <row r="338" customFormat="false" ht="15" hidden="false" customHeight="false" outlineLevel="0" collapsed="false">
      <c r="A338" s="2" t="n">
        <v>336</v>
      </c>
      <c r="B338" s="39" t="n">
        <f aca="false">IF(AND(A338&gt;=$E$3,A338&lt;=$E$2),BINOMDIST(A338,$E$2,$E$4,FALSE()),0)</f>
        <v>0</v>
      </c>
      <c r="C338" s="2"/>
      <c r="D338" s="2"/>
      <c r="E338" s="2"/>
    </row>
    <row r="339" customFormat="false" ht="15" hidden="false" customHeight="false" outlineLevel="0" collapsed="false">
      <c r="A339" s="2" t="n">
        <v>337</v>
      </c>
      <c r="B339" s="39" t="n">
        <f aca="false">IF(AND(A339&gt;=$E$3,A339&lt;=$E$2),BINOMDIST(A339,$E$2,$E$4,FALSE()),0)</f>
        <v>0</v>
      </c>
      <c r="C339" s="2"/>
      <c r="D339" s="2"/>
      <c r="E339" s="2"/>
    </row>
    <row r="340" customFormat="false" ht="15" hidden="false" customHeight="false" outlineLevel="0" collapsed="false">
      <c r="A340" s="2" t="n">
        <v>338</v>
      </c>
      <c r="B340" s="39" t="n">
        <f aca="false">IF(AND(A340&gt;=$E$3,A340&lt;=$E$2),BINOMDIST(A340,$E$2,$E$4,FALSE()),0)</f>
        <v>0</v>
      </c>
      <c r="C340" s="2"/>
      <c r="D340" s="2"/>
      <c r="E340" s="2"/>
    </row>
    <row r="341" customFormat="false" ht="15" hidden="false" customHeight="false" outlineLevel="0" collapsed="false">
      <c r="A341" s="2" t="n">
        <v>339</v>
      </c>
      <c r="B341" s="39" t="n">
        <f aca="false">IF(AND(A341&gt;=$E$3,A341&lt;=$E$2),BINOMDIST(A341,$E$2,$E$4,FALSE()),0)</f>
        <v>0</v>
      </c>
      <c r="C341" s="2"/>
      <c r="D341" s="2"/>
      <c r="E341" s="2"/>
    </row>
    <row r="342" customFormat="false" ht="15" hidden="false" customHeight="false" outlineLevel="0" collapsed="false">
      <c r="A342" s="2" t="n">
        <v>340</v>
      </c>
      <c r="B342" s="39" t="n">
        <f aca="false">IF(AND(A342&gt;=$E$3,A342&lt;=$E$2),BINOMDIST(A342,$E$2,$E$4,FALSE()),0)</f>
        <v>0</v>
      </c>
      <c r="C342" s="2"/>
      <c r="D342" s="2"/>
      <c r="E342" s="2"/>
    </row>
    <row r="343" customFormat="false" ht="15" hidden="false" customHeight="false" outlineLevel="0" collapsed="false">
      <c r="A343" s="2" t="n">
        <v>341</v>
      </c>
      <c r="B343" s="39" t="n">
        <f aca="false">IF(AND(A343&gt;=$E$3,A343&lt;=$E$2),BINOMDIST(A343,$E$2,$E$4,FALSE()),0)</f>
        <v>0</v>
      </c>
      <c r="C343" s="2"/>
      <c r="D343" s="2"/>
      <c r="E343" s="2"/>
    </row>
    <row r="344" customFormat="false" ht="15" hidden="false" customHeight="false" outlineLevel="0" collapsed="false">
      <c r="A344" s="2" t="n">
        <v>342</v>
      </c>
      <c r="B344" s="39" t="n">
        <f aca="false">IF(AND(A344&gt;=$E$3,A344&lt;=$E$2),BINOMDIST(A344,$E$2,$E$4,FALSE()),0)</f>
        <v>0</v>
      </c>
      <c r="C344" s="2"/>
      <c r="D344" s="2"/>
      <c r="E344" s="2"/>
    </row>
    <row r="345" customFormat="false" ht="15" hidden="false" customHeight="false" outlineLevel="0" collapsed="false">
      <c r="A345" s="2" t="n">
        <v>343</v>
      </c>
      <c r="B345" s="39" t="n">
        <f aca="false">IF(AND(A345&gt;=$E$3,A345&lt;=$E$2),BINOMDIST(A345,$E$2,$E$4,FALSE()),0)</f>
        <v>0</v>
      </c>
      <c r="C345" s="2"/>
      <c r="D345" s="2"/>
      <c r="E345" s="2"/>
    </row>
    <row r="346" customFormat="false" ht="15" hidden="false" customHeight="false" outlineLevel="0" collapsed="false">
      <c r="A346" s="2" t="n">
        <v>344</v>
      </c>
      <c r="B346" s="39" t="n">
        <f aca="false">IF(AND(A346&gt;=$E$3,A346&lt;=$E$2),BINOMDIST(A346,$E$2,$E$4,FALSE()),0)</f>
        <v>0</v>
      </c>
      <c r="C346" s="2"/>
      <c r="D346" s="2"/>
      <c r="E346" s="2"/>
    </row>
    <row r="347" customFormat="false" ht="15" hidden="false" customHeight="false" outlineLevel="0" collapsed="false">
      <c r="A347" s="2" t="n">
        <v>345</v>
      </c>
      <c r="B347" s="39" t="n">
        <f aca="false">IF(AND(A347&gt;=$E$3,A347&lt;=$E$2),BINOMDIST(A347,$E$2,$E$4,FALSE()),0)</f>
        <v>0</v>
      </c>
      <c r="C347" s="2"/>
      <c r="D347" s="2"/>
      <c r="E347" s="2"/>
    </row>
    <row r="348" customFormat="false" ht="15" hidden="false" customHeight="false" outlineLevel="0" collapsed="false">
      <c r="A348" s="2" t="n">
        <v>346</v>
      </c>
      <c r="B348" s="39" t="n">
        <f aca="false">IF(AND(A348&gt;=$E$3,A348&lt;=$E$2),BINOMDIST(A348,$E$2,$E$4,FALSE()),0)</f>
        <v>0</v>
      </c>
      <c r="C348" s="2"/>
      <c r="D348" s="2"/>
      <c r="E348" s="2"/>
    </row>
    <row r="349" customFormat="false" ht="15" hidden="false" customHeight="false" outlineLevel="0" collapsed="false">
      <c r="A349" s="2" t="n">
        <v>347</v>
      </c>
      <c r="B349" s="39" t="n">
        <f aca="false">IF(AND(A349&gt;=$E$3,A349&lt;=$E$2),BINOMDIST(A349,$E$2,$E$4,FALSE()),0)</f>
        <v>0</v>
      </c>
      <c r="C349" s="2"/>
      <c r="D349" s="2"/>
      <c r="E349" s="2"/>
    </row>
    <row r="350" customFormat="false" ht="15" hidden="false" customHeight="false" outlineLevel="0" collapsed="false">
      <c r="A350" s="2" t="n">
        <v>348</v>
      </c>
      <c r="B350" s="39" t="n">
        <f aca="false">IF(AND(A350&gt;=$E$3,A350&lt;=$E$2),BINOMDIST(A350,$E$2,$E$4,FALSE()),0)</f>
        <v>0</v>
      </c>
      <c r="C350" s="2"/>
      <c r="D350" s="2"/>
      <c r="E350" s="2"/>
    </row>
    <row r="351" customFormat="false" ht="15" hidden="false" customHeight="false" outlineLevel="0" collapsed="false">
      <c r="A351" s="2" t="n">
        <v>349</v>
      </c>
      <c r="B351" s="39" t="n">
        <f aca="false">IF(AND(A351&gt;=$E$3,A351&lt;=$E$2),BINOMDIST(A351,$E$2,$E$4,FALSE()),0)</f>
        <v>0</v>
      </c>
      <c r="C351" s="2"/>
      <c r="D351" s="2"/>
      <c r="E351" s="2"/>
    </row>
    <row r="352" customFormat="false" ht="15" hidden="false" customHeight="false" outlineLevel="0" collapsed="false">
      <c r="A352" s="2" t="n">
        <v>350</v>
      </c>
      <c r="B352" s="39" t="n">
        <f aca="false">IF(AND(A352&gt;=$E$3,A352&lt;=$E$2),BINOMDIST(A352,$E$2,$E$4,FALSE()),0)</f>
        <v>0</v>
      </c>
      <c r="C352" s="2"/>
      <c r="D352" s="2"/>
      <c r="E352" s="2"/>
    </row>
    <row r="353" customFormat="false" ht="15" hidden="false" customHeight="false" outlineLevel="0" collapsed="false">
      <c r="A353" s="2" t="n">
        <v>351</v>
      </c>
      <c r="B353" s="39" t="n">
        <f aca="false">IF(AND(A353&gt;=$E$3,A353&lt;=$E$2),BINOMDIST(A353,$E$2,$E$4,FALSE()),0)</f>
        <v>0</v>
      </c>
      <c r="C353" s="2"/>
      <c r="D353" s="2"/>
      <c r="E353" s="2"/>
    </row>
    <row r="354" customFormat="false" ht="15" hidden="false" customHeight="false" outlineLevel="0" collapsed="false">
      <c r="A354" s="2" t="n">
        <v>352</v>
      </c>
      <c r="B354" s="39" t="n">
        <f aca="false">IF(AND(A354&gt;=$E$3,A354&lt;=$E$2),BINOMDIST(A354,$E$2,$E$4,FALSE()),0)</f>
        <v>0</v>
      </c>
      <c r="C354" s="2"/>
      <c r="D354" s="2"/>
      <c r="E354" s="2"/>
    </row>
    <row r="355" customFormat="false" ht="15" hidden="false" customHeight="false" outlineLevel="0" collapsed="false">
      <c r="A355" s="2" t="n">
        <v>353</v>
      </c>
      <c r="B355" s="39" t="n">
        <f aca="false">IF(AND(A355&gt;=$E$3,A355&lt;=$E$2),BINOMDIST(A355,$E$2,$E$4,FALSE()),0)</f>
        <v>0</v>
      </c>
      <c r="C355" s="2"/>
      <c r="D355" s="2"/>
      <c r="E355" s="2"/>
    </row>
    <row r="356" customFormat="false" ht="15" hidden="false" customHeight="false" outlineLevel="0" collapsed="false">
      <c r="A356" s="2" t="n">
        <v>354</v>
      </c>
      <c r="B356" s="39" t="n">
        <f aca="false">IF(AND(A356&gt;=$E$3,A356&lt;=$E$2),BINOMDIST(A356,$E$2,$E$4,FALSE()),0)</f>
        <v>0</v>
      </c>
      <c r="C356" s="2"/>
      <c r="D356" s="2"/>
      <c r="E356" s="2"/>
    </row>
    <row r="357" customFormat="false" ht="15" hidden="false" customHeight="false" outlineLevel="0" collapsed="false">
      <c r="A357" s="2" t="n">
        <v>355</v>
      </c>
      <c r="B357" s="39" t="n">
        <f aca="false">IF(AND(A357&gt;=$E$3,A357&lt;=$E$2),BINOMDIST(A357,$E$2,$E$4,FALSE()),0)</f>
        <v>0</v>
      </c>
      <c r="C357" s="2"/>
      <c r="D357" s="2"/>
      <c r="E357" s="2"/>
    </row>
    <row r="358" customFormat="false" ht="15" hidden="false" customHeight="false" outlineLevel="0" collapsed="false">
      <c r="A358" s="2" t="n">
        <v>356</v>
      </c>
      <c r="B358" s="39" t="n">
        <f aca="false">IF(AND(A358&gt;=$E$3,A358&lt;=$E$2),BINOMDIST(A358,$E$2,$E$4,FALSE()),0)</f>
        <v>0</v>
      </c>
      <c r="C358" s="2"/>
      <c r="D358" s="2"/>
      <c r="E358" s="2"/>
    </row>
    <row r="359" customFormat="false" ht="15" hidden="false" customHeight="false" outlineLevel="0" collapsed="false">
      <c r="A359" s="2" t="n">
        <v>357</v>
      </c>
      <c r="B359" s="39" t="n">
        <f aca="false">IF(AND(A359&gt;=$E$3,A359&lt;=$E$2),BINOMDIST(A359,$E$2,$E$4,FALSE()),0)</f>
        <v>0</v>
      </c>
      <c r="C359" s="2"/>
      <c r="D359" s="2"/>
      <c r="E359" s="2"/>
    </row>
    <row r="360" customFormat="false" ht="15" hidden="false" customHeight="false" outlineLevel="0" collapsed="false">
      <c r="A360" s="2" t="n">
        <v>358</v>
      </c>
      <c r="B360" s="39" t="n">
        <f aca="false">IF(AND(A360&gt;=$E$3,A360&lt;=$E$2),BINOMDIST(A360,$E$2,$E$4,FALSE()),0)</f>
        <v>0</v>
      </c>
      <c r="C360" s="2"/>
      <c r="D360" s="2"/>
      <c r="E360" s="2"/>
    </row>
    <row r="361" customFormat="false" ht="15" hidden="false" customHeight="false" outlineLevel="0" collapsed="false">
      <c r="A361" s="2" t="n">
        <v>359</v>
      </c>
      <c r="B361" s="39" t="n">
        <f aca="false">IF(AND(A361&gt;=$E$3,A361&lt;=$E$2),BINOMDIST(A361,$E$2,$E$4,FALSE()),0)</f>
        <v>0</v>
      </c>
      <c r="C361" s="2"/>
      <c r="D361" s="2"/>
      <c r="E361" s="2"/>
    </row>
    <row r="362" customFormat="false" ht="15" hidden="false" customHeight="false" outlineLevel="0" collapsed="false">
      <c r="A362" s="2" t="n">
        <v>360</v>
      </c>
      <c r="B362" s="39" t="n">
        <f aca="false">IF(AND(A362&gt;=$E$3,A362&lt;=$E$2),BINOMDIST(A362,$E$2,$E$4,FALSE()),0)</f>
        <v>0</v>
      </c>
      <c r="C362" s="2"/>
      <c r="D362" s="2"/>
      <c r="E362" s="2"/>
    </row>
    <row r="363" customFormat="false" ht="15" hidden="false" customHeight="false" outlineLevel="0" collapsed="false">
      <c r="A363" s="2" t="n">
        <v>361</v>
      </c>
      <c r="B363" s="39" t="n">
        <f aca="false">IF(AND(A363&gt;=$E$3,A363&lt;=$E$2),BINOMDIST(A363,$E$2,$E$4,FALSE()),0)</f>
        <v>0</v>
      </c>
      <c r="C363" s="2"/>
      <c r="D363" s="2"/>
      <c r="E363" s="2"/>
    </row>
    <row r="364" customFormat="false" ht="15" hidden="false" customHeight="false" outlineLevel="0" collapsed="false">
      <c r="A364" s="2" t="n">
        <v>362</v>
      </c>
      <c r="B364" s="39" t="n">
        <f aca="false">IF(AND(A364&gt;=$E$3,A364&lt;=$E$2),BINOMDIST(A364,$E$2,$E$4,FALSE()),0)</f>
        <v>0</v>
      </c>
      <c r="C364" s="2"/>
      <c r="D364" s="2"/>
      <c r="E364" s="2"/>
    </row>
    <row r="365" customFormat="false" ht="15" hidden="false" customHeight="false" outlineLevel="0" collapsed="false">
      <c r="A365" s="2" t="n">
        <v>363</v>
      </c>
      <c r="B365" s="39" t="n">
        <f aca="false">IF(AND(A365&gt;=$E$3,A365&lt;=$E$2),BINOMDIST(A365,$E$2,$E$4,FALSE()),0)</f>
        <v>0</v>
      </c>
      <c r="C365" s="2"/>
      <c r="D365" s="2"/>
      <c r="E365" s="2"/>
    </row>
    <row r="366" customFormat="false" ht="15" hidden="false" customHeight="false" outlineLevel="0" collapsed="false">
      <c r="A366" s="2" t="n">
        <v>364</v>
      </c>
      <c r="B366" s="39" t="n">
        <f aca="false">IF(AND(A366&gt;=$E$3,A366&lt;=$E$2),BINOMDIST(A366,$E$2,$E$4,FALSE()),0)</f>
        <v>0</v>
      </c>
      <c r="C366" s="2"/>
      <c r="D366" s="2"/>
      <c r="E366" s="2"/>
    </row>
    <row r="367" customFormat="false" ht="15" hidden="false" customHeight="false" outlineLevel="0" collapsed="false">
      <c r="A367" s="2" t="n">
        <v>365</v>
      </c>
      <c r="B367" s="39" t="n">
        <f aca="false">IF(AND(A367&gt;=$E$3,A367&lt;=$E$2),BINOMDIST(A367,$E$2,$E$4,FALSE()),0)</f>
        <v>0</v>
      </c>
      <c r="C367" s="2"/>
      <c r="D367" s="2"/>
      <c r="E367" s="2"/>
    </row>
    <row r="368" customFormat="false" ht="15" hidden="false" customHeight="false" outlineLevel="0" collapsed="false">
      <c r="A368" s="2" t="n">
        <v>366</v>
      </c>
      <c r="B368" s="39" t="n">
        <f aca="false">IF(AND(A368&gt;=$E$3,A368&lt;=$E$2),BINOMDIST(A368,$E$2,$E$4,FALSE()),0)</f>
        <v>0</v>
      </c>
      <c r="C368" s="2"/>
      <c r="D368" s="2"/>
      <c r="E368" s="2"/>
    </row>
    <row r="369" customFormat="false" ht="15" hidden="false" customHeight="false" outlineLevel="0" collapsed="false">
      <c r="A369" s="2" t="n">
        <v>367</v>
      </c>
      <c r="B369" s="39" t="n">
        <f aca="false">IF(AND(A369&gt;=$E$3,A369&lt;=$E$2),BINOMDIST(A369,$E$2,$E$4,FALSE()),0)</f>
        <v>0</v>
      </c>
      <c r="C369" s="2"/>
      <c r="D369" s="2"/>
      <c r="E369" s="2"/>
    </row>
    <row r="370" customFormat="false" ht="15" hidden="false" customHeight="false" outlineLevel="0" collapsed="false">
      <c r="A370" s="2" t="n">
        <v>368</v>
      </c>
      <c r="B370" s="39" t="n">
        <f aca="false">IF(AND(A370&gt;=$E$3,A370&lt;=$E$2),BINOMDIST(A370,$E$2,$E$4,FALSE()),0)</f>
        <v>0</v>
      </c>
      <c r="C370" s="2"/>
      <c r="D370" s="2"/>
      <c r="E370" s="2"/>
    </row>
    <row r="371" customFormat="false" ht="15" hidden="false" customHeight="false" outlineLevel="0" collapsed="false">
      <c r="A371" s="2" t="n">
        <v>369</v>
      </c>
      <c r="B371" s="39" t="n">
        <f aca="false">IF(AND(A371&gt;=$E$3,A371&lt;=$E$2),BINOMDIST(A371,$E$2,$E$4,FALSE()),0)</f>
        <v>0</v>
      </c>
      <c r="C371" s="2"/>
      <c r="D371" s="2"/>
      <c r="E371" s="2"/>
    </row>
    <row r="372" customFormat="false" ht="15" hidden="false" customHeight="false" outlineLevel="0" collapsed="false">
      <c r="A372" s="2" t="n">
        <v>370</v>
      </c>
      <c r="B372" s="39" t="n">
        <f aca="false">IF(AND(A372&gt;=$E$3,A372&lt;=$E$2),BINOMDIST(A372,$E$2,$E$4,FALSE()),0)</f>
        <v>0</v>
      </c>
      <c r="C372" s="2"/>
      <c r="D372" s="2"/>
      <c r="E372" s="2"/>
    </row>
    <row r="373" customFormat="false" ht="15" hidden="false" customHeight="false" outlineLevel="0" collapsed="false">
      <c r="A373" s="2" t="n">
        <v>371</v>
      </c>
      <c r="B373" s="39" t="n">
        <f aca="false">IF(AND(A373&gt;=$E$3,A373&lt;=$E$2),BINOMDIST(A373,$E$2,$E$4,FALSE()),0)</f>
        <v>0</v>
      </c>
      <c r="C373" s="2"/>
      <c r="D373" s="2"/>
      <c r="E373" s="2"/>
    </row>
    <row r="374" customFormat="false" ht="15" hidden="false" customHeight="false" outlineLevel="0" collapsed="false">
      <c r="A374" s="2" t="n">
        <v>372</v>
      </c>
      <c r="B374" s="39" t="n">
        <f aca="false">IF(AND(A374&gt;=$E$3,A374&lt;=$E$2),BINOMDIST(A374,$E$2,$E$4,FALSE()),0)</f>
        <v>0</v>
      </c>
      <c r="C374" s="2"/>
      <c r="D374" s="2"/>
      <c r="E374" s="2"/>
    </row>
    <row r="375" customFormat="false" ht="15" hidden="false" customHeight="false" outlineLevel="0" collapsed="false">
      <c r="A375" s="2" t="n">
        <v>373</v>
      </c>
      <c r="B375" s="39" t="n">
        <f aca="false">IF(AND(A375&gt;=$E$3,A375&lt;=$E$2),BINOMDIST(A375,$E$2,$E$4,FALSE()),0)</f>
        <v>0</v>
      </c>
      <c r="C375" s="2"/>
      <c r="D375" s="2"/>
      <c r="E375" s="2"/>
    </row>
    <row r="376" customFormat="false" ht="15" hidden="false" customHeight="false" outlineLevel="0" collapsed="false">
      <c r="A376" s="2" t="n">
        <v>374</v>
      </c>
      <c r="B376" s="39" t="n">
        <f aca="false">IF(AND(A376&gt;=$E$3,A376&lt;=$E$2),BINOMDIST(A376,$E$2,$E$4,FALSE()),0)</f>
        <v>0</v>
      </c>
      <c r="C376" s="2"/>
      <c r="D376" s="2"/>
      <c r="E376" s="2"/>
    </row>
    <row r="377" customFormat="false" ht="15" hidden="false" customHeight="false" outlineLevel="0" collapsed="false">
      <c r="A377" s="2" t="n">
        <v>375</v>
      </c>
      <c r="B377" s="39" t="n">
        <f aca="false">IF(AND(A377&gt;=$E$3,A377&lt;=$E$2),BINOMDIST(A377,$E$2,$E$4,FALSE()),0)</f>
        <v>0</v>
      </c>
      <c r="C377" s="2"/>
      <c r="D377" s="2"/>
      <c r="E377" s="2"/>
    </row>
    <row r="378" customFormat="false" ht="15" hidden="false" customHeight="false" outlineLevel="0" collapsed="false">
      <c r="A378" s="2" t="n">
        <v>376</v>
      </c>
      <c r="B378" s="39" t="n">
        <f aca="false">IF(AND(A378&gt;=$E$3,A378&lt;=$E$2),BINOMDIST(A378,$E$2,$E$4,FALSE()),0)</f>
        <v>0</v>
      </c>
      <c r="C378" s="2"/>
      <c r="D378" s="2"/>
      <c r="E378" s="2"/>
    </row>
    <row r="379" customFormat="false" ht="15" hidden="false" customHeight="false" outlineLevel="0" collapsed="false">
      <c r="A379" s="2" t="n">
        <v>377</v>
      </c>
      <c r="B379" s="39" t="n">
        <f aca="false">IF(AND(A379&gt;=$E$3,A379&lt;=$E$2),BINOMDIST(A379,$E$2,$E$4,FALSE()),0)</f>
        <v>0</v>
      </c>
      <c r="C379" s="2"/>
      <c r="D379" s="2"/>
      <c r="E379" s="2"/>
    </row>
    <row r="380" customFormat="false" ht="15" hidden="false" customHeight="false" outlineLevel="0" collapsed="false">
      <c r="A380" s="2" t="n">
        <v>378</v>
      </c>
      <c r="B380" s="39" t="n">
        <f aca="false">IF(AND(A380&gt;=$E$3,A380&lt;=$E$2),BINOMDIST(A380,$E$2,$E$4,FALSE()),0)</f>
        <v>0</v>
      </c>
      <c r="C380" s="2"/>
      <c r="D380" s="2"/>
      <c r="E380" s="2"/>
    </row>
    <row r="381" customFormat="false" ht="15" hidden="false" customHeight="false" outlineLevel="0" collapsed="false">
      <c r="A381" s="2" t="n">
        <v>379</v>
      </c>
      <c r="B381" s="39" t="n">
        <f aca="false">IF(AND(A381&gt;=$E$3,A381&lt;=$E$2),BINOMDIST(A381,$E$2,$E$4,FALSE()),0)</f>
        <v>0</v>
      </c>
      <c r="C381" s="2"/>
      <c r="D381" s="2"/>
      <c r="E381" s="2"/>
    </row>
    <row r="382" customFormat="false" ht="15" hidden="false" customHeight="false" outlineLevel="0" collapsed="false">
      <c r="A382" s="2" t="n">
        <v>380</v>
      </c>
      <c r="B382" s="39" t="n">
        <f aca="false">IF(AND(A382&gt;=$E$3,A382&lt;=$E$2),BINOMDIST(A382,$E$2,$E$4,FALSE()),0)</f>
        <v>0</v>
      </c>
      <c r="C382" s="2"/>
      <c r="D382" s="2"/>
      <c r="E382" s="2"/>
    </row>
    <row r="383" customFormat="false" ht="15" hidden="false" customHeight="false" outlineLevel="0" collapsed="false">
      <c r="A383" s="2" t="n">
        <v>381</v>
      </c>
      <c r="B383" s="39" t="n">
        <f aca="false">IF(AND(A383&gt;=$E$3,A383&lt;=$E$2),BINOMDIST(A383,$E$2,$E$4,FALSE()),0)</f>
        <v>0</v>
      </c>
      <c r="C383" s="2"/>
      <c r="D383" s="2"/>
      <c r="E383" s="2"/>
    </row>
    <row r="384" customFormat="false" ht="15" hidden="false" customHeight="false" outlineLevel="0" collapsed="false">
      <c r="A384" s="2" t="n">
        <v>382</v>
      </c>
      <c r="B384" s="39" t="n">
        <f aca="false">IF(AND(A384&gt;=$E$3,A384&lt;=$E$2),BINOMDIST(A384,$E$2,$E$4,FALSE()),0)</f>
        <v>0</v>
      </c>
      <c r="C384" s="2"/>
      <c r="D384" s="2"/>
      <c r="E384" s="2"/>
    </row>
    <row r="385" customFormat="false" ht="15" hidden="false" customHeight="false" outlineLevel="0" collapsed="false">
      <c r="A385" s="2" t="n">
        <v>383</v>
      </c>
      <c r="B385" s="39" t="n">
        <f aca="false">IF(AND(A385&gt;=$E$3,A385&lt;=$E$2),BINOMDIST(A385,$E$2,$E$4,FALSE()),0)</f>
        <v>0</v>
      </c>
      <c r="C385" s="2"/>
      <c r="D385" s="2"/>
      <c r="E385" s="2"/>
    </row>
    <row r="386" customFormat="false" ht="15" hidden="false" customHeight="false" outlineLevel="0" collapsed="false">
      <c r="A386" s="2" t="n">
        <v>384</v>
      </c>
      <c r="B386" s="39" t="n">
        <f aca="false">IF(AND(A386&gt;=$E$3,A386&lt;=$E$2),BINOMDIST(A386,$E$2,$E$4,FALSE()),0)</f>
        <v>0</v>
      </c>
      <c r="C386" s="2"/>
      <c r="D386" s="2"/>
      <c r="E386" s="2"/>
    </row>
    <row r="387" customFormat="false" ht="15" hidden="false" customHeight="false" outlineLevel="0" collapsed="false">
      <c r="A387" s="2" t="n">
        <v>385</v>
      </c>
      <c r="B387" s="39" t="n">
        <f aca="false">IF(AND(A387&gt;=$E$3,A387&lt;=$E$2),BINOMDIST(A387,$E$2,$E$4,FALSE()),0)</f>
        <v>0</v>
      </c>
      <c r="C387" s="2"/>
      <c r="D387" s="2"/>
      <c r="E387" s="2"/>
    </row>
    <row r="388" customFormat="false" ht="15" hidden="false" customHeight="false" outlineLevel="0" collapsed="false">
      <c r="A388" s="2" t="n">
        <v>386</v>
      </c>
      <c r="B388" s="39" t="n">
        <f aca="false">IF(AND(A388&gt;=$E$3,A388&lt;=$E$2),BINOMDIST(A388,$E$2,$E$4,FALSE()),0)</f>
        <v>0</v>
      </c>
      <c r="C388" s="2"/>
      <c r="D388" s="2"/>
      <c r="E388" s="2"/>
    </row>
    <row r="389" customFormat="false" ht="15" hidden="false" customHeight="false" outlineLevel="0" collapsed="false">
      <c r="A389" s="2" t="n">
        <v>387</v>
      </c>
      <c r="B389" s="39" t="n">
        <f aca="false">IF(AND(A389&gt;=$E$3,A389&lt;=$E$2),BINOMDIST(A389,$E$2,$E$4,FALSE()),0)</f>
        <v>0</v>
      </c>
      <c r="C389" s="2"/>
      <c r="D389" s="2"/>
      <c r="E389" s="2"/>
    </row>
    <row r="390" customFormat="false" ht="15" hidden="false" customHeight="false" outlineLevel="0" collapsed="false">
      <c r="A390" s="2" t="n">
        <v>388</v>
      </c>
      <c r="B390" s="39" t="n">
        <f aca="false">IF(AND(A390&gt;=$E$3,A390&lt;=$E$2),BINOMDIST(A390,$E$2,$E$4,FALSE()),0)</f>
        <v>0</v>
      </c>
      <c r="C390" s="2"/>
      <c r="D390" s="2"/>
      <c r="E390" s="2"/>
    </row>
    <row r="391" customFormat="false" ht="15" hidden="false" customHeight="false" outlineLevel="0" collapsed="false">
      <c r="A391" s="2" t="n">
        <v>389</v>
      </c>
      <c r="B391" s="39" t="n">
        <f aca="false">IF(AND(A391&gt;=$E$3,A391&lt;=$E$2),BINOMDIST(A391,$E$2,$E$4,FALSE()),0)</f>
        <v>0</v>
      </c>
      <c r="C391" s="2"/>
      <c r="D391" s="2"/>
      <c r="E391" s="2"/>
    </row>
    <row r="392" customFormat="false" ht="15" hidden="false" customHeight="false" outlineLevel="0" collapsed="false">
      <c r="A392" s="2" t="n">
        <v>390</v>
      </c>
      <c r="B392" s="39" t="n">
        <f aca="false">IF(AND(A392&gt;=$E$3,A392&lt;=$E$2),BINOMDIST(A392,$E$2,$E$4,FALSE()),0)</f>
        <v>0</v>
      </c>
      <c r="C392" s="2"/>
      <c r="D392" s="2"/>
      <c r="E392" s="2"/>
    </row>
    <row r="393" customFormat="false" ht="15" hidden="false" customHeight="false" outlineLevel="0" collapsed="false">
      <c r="A393" s="2" t="n">
        <v>391</v>
      </c>
      <c r="B393" s="39" t="n">
        <f aca="false">IF(AND(A393&gt;=$E$3,A393&lt;=$E$2),BINOMDIST(A393,$E$2,$E$4,FALSE()),0)</f>
        <v>0</v>
      </c>
      <c r="C393" s="2"/>
      <c r="D393" s="2"/>
      <c r="E393" s="2"/>
    </row>
    <row r="394" customFormat="false" ht="15" hidden="false" customHeight="false" outlineLevel="0" collapsed="false">
      <c r="A394" s="2" t="n">
        <v>392</v>
      </c>
      <c r="B394" s="39" t="n">
        <f aca="false">IF(AND(A394&gt;=$E$3,A394&lt;=$E$2),BINOMDIST(A394,$E$2,$E$4,FALSE()),0)</f>
        <v>0</v>
      </c>
      <c r="C394" s="2"/>
      <c r="D394" s="2"/>
      <c r="E394" s="2"/>
    </row>
    <row r="395" customFormat="false" ht="15" hidden="false" customHeight="false" outlineLevel="0" collapsed="false">
      <c r="A395" s="2" t="n">
        <v>393</v>
      </c>
      <c r="B395" s="39" t="n">
        <f aca="false">IF(AND(A395&gt;=$E$3,A395&lt;=$E$2),BINOMDIST(A395,$E$2,$E$4,FALSE()),0)</f>
        <v>0</v>
      </c>
      <c r="C395" s="2"/>
      <c r="D395" s="2"/>
      <c r="E395" s="2"/>
    </row>
    <row r="396" customFormat="false" ht="15" hidden="false" customHeight="false" outlineLevel="0" collapsed="false">
      <c r="A396" s="2" t="n">
        <v>394</v>
      </c>
      <c r="B396" s="39" t="n">
        <f aca="false">IF(AND(A396&gt;=$E$3,A396&lt;=$E$2),BINOMDIST(A396,$E$2,$E$4,FALSE()),0)</f>
        <v>0</v>
      </c>
      <c r="C396" s="2"/>
      <c r="D396" s="2"/>
      <c r="E396" s="2"/>
    </row>
    <row r="397" customFormat="false" ht="15" hidden="false" customHeight="false" outlineLevel="0" collapsed="false">
      <c r="A397" s="2" t="n">
        <v>395</v>
      </c>
      <c r="B397" s="39" t="n">
        <f aca="false">IF(AND(A397&gt;=$E$3,A397&lt;=$E$2),BINOMDIST(A397,$E$2,$E$4,FALSE()),0)</f>
        <v>0</v>
      </c>
      <c r="C397" s="2"/>
      <c r="D397" s="2"/>
      <c r="E397" s="2"/>
    </row>
    <row r="398" customFormat="false" ht="15" hidden="false" customHeight="false" outlineLevel="0" collapsed="false">
      <c r="A398" s="2" t="n">
        <v>396</v>
      </c>
      <c r="B398" s="39" t="n">
        <f aca="false">IF(AND(A398&gt;=$E$3,A398&lt;=$E$2),BINOMDIST(A398,$E$2,$E$4,FALSE()),0)</f>
        <v>0</v>
      </c>
      <c r="C398" s="2"/>
      <c r="D398" s="2"/>
      <c r="E398" s="2"/>
    </row>
    <row r="399" customFormat="false" ht="15" hidden="false" customHeight="false" outlineLevel="0" collapsed="false">
      <c r="A399" s="2" t="n">
        <v>397</v>
      </c>
      <c r="B399" s="39" t="n">
        <f aca="false">IF(AND(A399&gt;=$E$3,A399&lt;=$E$2),BINOMDIST(A399,$E$2,$E$4,FALSE()),0)</f>
        <v>0</v>
      </c>
      <c r="C399" s="2"/>
      <c r="D399" s="2"/>
      <c r="E399" s="2"/>
    </row>
    <row r="400" customFormat="false" ht="15" hidden="false" customHeight="false" outlineLevel="0" collapsed="false">
      <c r="A400" s="2" t="n">
        <v>398</v>
      </c>
      <c r="B400" s="39" t="n">
        <f aca="false">IF(AND(A400&gt;=$E$3,A400&lt;=$E$2),BINOMDIST(A400,$E$2,$E$4,FALSE()),0)</f>
        <v>0</v>
      </c>
      <c r="C400" s="2"/>
      <c r="D400" s="2"/>
      <c r="E400" s="2"/>
    </row>
    <row r="401" customFormat="false" ht="15" hidden="false" customHeight="false" outlineLevel="0" collapsed="false">
      <c r="A401" s="2" t="n">
        <v>399</v>
      </c>
      <c r="B401" s="39" t="n">
        <f aca="false">IF(AND(A401&gt;=$E$3,A401&lt;=$E$2),BINOMDIST(A401,$E$2,$E$4,FALSE()),0)</f>
        <v>0</v>
      </c>
      <c r="C401" s="2"/>
      <c r="D401" s="2"/>
      <c r="E401" s="2"/>
    </row>
    <row r="402" customFormat="false" ht="15" hidden="false" customHeight="false" outlineLevel="0" collapsed="false">
      <c r="A402" s="2" t="n">
        <v>400</v>
      </c>
      <c r="B402" s="39" t="n">
        <f aca="false">IF(AND(A402&gt;=$E$3,A402&lt;=$E$2),BINOMDIST(A402,$E$2,$E$4,FALSE()),0)</f>
        <v>0</v>
      </c>
      <c r="C402" s="2"/>
      <c r="D402" s="2"/>
      <c r="E40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4" min="2" style="0" width="14"/>
    <col collapsed="false" customWidth="true" hidden="false" outlineLevel="0" max="5" min="5" style="0" width="38"/>
    <col collapsed="false" customWidth="true" hidden="false" outlineLevel="0" max="6" min="6" style="0" width="50"/>
  </cols>
  <sheetData>
    <row r="1" customFormat="false" ht="26.85" hidden="false" customHeight="false" outlineLevel="0" collapsed="false">
      <c r="A1" s="13" t="s">
        <v>274</v>
      </c>
      <c r="B1" s="13" t="s">
        <v>189</v>
      </c>
      <c r="C1" s="13" t="s">
        <v>1</v>
      </c>
      <c r="D1" s="13" t="s">
        <v>275</v>
      </c>
      <c r="E1" s="13" t="s">
        <v>276</v>
      </c>
      <c r="F1" s="13" t="s">
        <v>277</v>
      </c>
    </row>
    <row r="2" customFormat="false" ht="15" hidden="false" customHeight="false" outlineLevel="0" collapsed="false">
      <c r="A2" s="5" t="s">
        <v>278</v>
      </c>
      <c r="B2" s="7" t="n">
        <v>55</v>
      </c>
      <c r="C2" s="7" t="n">
        <v>22</v>
      </c>
      <c r="D2" s="17" t="n">
        <f aca="false">IF(AND(ISNUMBER(B2),B2&gt;0,ISNUMBER(C2)),C2/B2,"")</f>
        <v>0.4</v>
      </c>
      <c r="E2" s="5" t="s">
        <v>279</v>
      </c>
      <c r="F2" s="5"/>
    </row>
    <row r="3" customFormat="false" ht="15" hidden="false" customHeight="false" outlineLevel="0" collapsed="false">
      <c r="A3" s="5" t="s">
        <v>280</v>
      </c>
      <c r="B3" s="7" t="n">
        <v>44</v>
      </c>
      <c r="C3" s="7" t="n">
        <v>17</v>
      </c>
      <c r="D3" s="17" t="n">
        <f aca="false">IF(AND(ISNUMBER(B3),B3&gt;0,ISNUMBER(C3)),C3/B3,"")</f>
        <v>0.386363636363636</v>
      </c>
      <c r="E3" s="5" t="s">
        <v>279</v>
      </c>
      <c r="F3" s="5"/>
    </row>
    <row r="4" customFormat="false" ht="15" hidden="false" customHeight="false" outlineLevel="0" collapsed="false">
      <c r="A4" s="5" t="s">
        <v>281</v>
      </c>
      <c r="B4" s="7" t="n">
        <v>57</v>
      </c>
      <c r="C4" s="7" t="n">
        <v>23</v>
      </c>
      <c r="D4" s="17" t="n">
        <f aca="false">IF(AND(ISNUMBER(B4),B4&gt;0,ISNUMBER(C4)),C4/B4,"")</f>
        <v>0.403508771929825</v>
      </c>
      <c r="E4" s="5" t="s">
        <v>279</v>
      </c>
      <c r="F4" s="5"/>
    </row>
    <row r="5" customFormat="false" ht="15" hidden="false" customHeight="false" outlineLevel="0" collapsed="false">
      <c r="A5" s="5" t="s">
        <v>282</v>
      </c>
      <c r="B5" s="7" t="n">
        <v>16</v>
      </c>
      <c r="C5" s="7" t="n">
        <v>2</v>
      </c>
      <c r="D5" s="17" t="n">
        <f aca="false">IF(AND(ISNUMBER(B5),B5&gt;0,ISNUMBER(C5)),C5/B5,"")</f>
        <v>0.125</v>
      </c>
      <c r="E5" s="5" t="s">
        <v>279</v>
      </c>
      <c r="F5" s="5"/>
    </row>
    <row r="6" customFormat="false" ht="15" hidden="false" customHeight="false" outlineLevel="0" collapsed="false">
      <c r="A6" s="5" t="s">
        <v>283</v>
      </c>
      <c r="B6" s="7" t="n">
        <v>19</v>
      </c>
      <c r="C6" s="7" t="n">
        <v>4</v>
      </c>
      <c r="D6" s="17" t="n">
        <f aca="false">IF(AND(ISNUMBER(B6),B6&gt;0,ISNUMBER(C6)),C6/B6,"")</f>
        <v>0.210526315789474</v>
      </c>
      <c r="E6" s="5" t="s">
        <v>279</v>
      </c>
      <c r="F6" s="5"/>
    </row>
    <row r="7" customFormat="false" ht="15" hidden="false" customHeight="false" outlineLevel="0" collapsed="false">
      <c r="A7" s="5" t="s">
        <v>284</v>
      </c>
      <c r="B7" s="7"/>
      <c r="C7" s="7"/>
      <c r="D7" s="17" t="str">
        <f aca="false">IF(AND(ISNUMBER(B7),B7&gt;0,ISNUMBER(C7)),C7/B7,"")</f>
        <v/>
      </c>
      <c r="E7" s="5" t="s">
        <v>279</v>
      </c>
      <c r="F7" s="5" t="s">
        <v>285</v>
      </c>
    </row>
    <row r="8" customFormat="false" ht="15" hidden="false" customHeight="false" outlineLevel="0" collapsed="false">
      <c r="A8" s="5" t="s">
        <v>286</v>
      </c>
      <c r="B8" s="7" t="n">
        <v>9</v>
      </c>
      <c r="C8" s="7" t="n">
        <v>2</v>
      </c>
      <c r="D8" s="17" t="n">
        <f aca="false">IF(AND(ISNUMBER(B8),B8&gt;0,ISNUMBER(C8)),C8/B8,"")</f>
        <v>0.222222222222222</v>
      </c>
      <c r="E8" s="5" t="s">
        <v>279</v>
      </c>
      <c r="F8" s="5"/>
    </row>
    <row r="9" customFormat="false" ht="15" hidden="false" customHeight="false" outlineLevel="0" collapsed="false">
      <c r="A9" s="5" t="s">
        <v>287</v>
      </c>
      <c r="B9" s="7" t="n">
        <v>35</v>
      </c>
      <c r="C9" s="7" t="n">
        <v>9</v>
      </c>
      <c r="D9" s="17" t="n">
        <f aca="false">IF(AND(ISNUMBER(B9),B9&gt;0,ISNUMBER(C9)),C9/B9,"")</f>
        <v>0.257142857142857</v>
      </c>
      <c r="E9" s="5" t="s">
        <v>279</v>
      </c>
      <c r="F9" s="5"/>
    </row>
    <row r="10" customFormat="false" ht="15" hidden="false" customHeight="false" outlineLevel="0" collapsed="false">
      <c r="A10" s="5" t="s">
        <v>288</v>
      </c>
      <c r="B10" s="7" t="n">
        <v>10</v>
      </c>
      <c r="C10" s="7" t="n">
        <v>0</v>
      </c>
      <c r="D10" s="17" t="n">
        <f aca="false">IF(AND(ISNUMBER(B10),B10&gt;0,ISNUMBER(C10)),C10/B10,"")</f>
        <v>0</v>
      </c>
      <c r="E10" s="5" t="s">
        <v>289</v>
      </c>
      <c r="F10" s="5"/>
    </row>
    <row r="11" customFormat="false" ht="15" hidden="false" customHeight="false" outlineLevel="0" collapsed="false">
      <c r="A11" s="5" t="s">
        <v>290</v>
      </c>
      <c r="B11" s="7" t="n">
        <v>2</v>
      </c>
      <c r="C11" s="7" t="n">
        <v>0</v>
      </c>
      <c r="D11" s="17" t="n">
        <f aca="false">IF(AND(ISNUMBER(B11),B11&gt;0,ISNUMBER(C11)),C11/B11,"")</f>
        <v>0</v>
      </c>
      <c r="E11" s="5" t="s">
        <v>289</v>
      </c>
      <c r="F11" s="5"/>
    </row>
    <row r="12" customFormat="false" ht="15" hidden="false" customHeight="false" outlineLevel="0" collapsed="false">
      <c r="A12" s="5" t="s">
        <v>291</v>
      </c>
      <c r="B12" s="7" t="n">
        <v>13</v>
      </c>
      <c r="C12" s="7"/>
      <c r="D12" s="17" t="str">
        <f aca="false">IF(AND(ISNUMBER(B12),B12&gt;0,ISNUMBER(C12)),C12/B12,"")</f>
        <v/>
      </c>
      <c r="E12" s="5" t="s">
        <v>289</v>
      </c>
      <c r="F12" s="5" t="s">
        <v>292</v>
      </c>
    </row>
    <row r="13" customFormat="false" ht="15" hidden="false" customHeight="false" outlineLevel="0" collapsed="false">
      <c r="A13" s="3" t="s">
        <v>293</v>
      </c>
      <c r="B13" s="3" t="n">
        <f aca="false">SUM(B2:B12)</f>
        <v>260</v>
      </c>
      <c r="C13" s="3" t="n">
        <f aca="false">SUM(C2:C12)</f>
        <v>79</v>
      </c>
      <c r="D13" s="14" t="n">
        <f aca="false">C13/B13</f>
        <v>0.303846153846154</v>
      </c>
      <c r="E13" s="3"/>
      <c r="F13" s="3"/>
    </row>
    <row r="15" customFormat="false" ht="15" hidden="false" customHeight="true" outlineLevel="0" collapsed="false">
      <c r="A15" s="11" t="s">
        <v>22</v>
      </c>
      <c r="B15" s="11"/>
      <c r="C15" s="11"/>
      <c r="D15" s="11"/>
      <c r="E15" s="11"/>
      <c r="F15" s="11"/>
    </row>
    <row r="16" customFormat="false" ht="48" hidden="false" customHeight="true" outlineLevel="0" collapsed="false">
      <c r="A16" s="12" t="s">
        <v>294</v>
      </c>
      <c r="B16" s="12"/>
      <c r="C16" s="12"/>
      <c r="D16" s="12"/>
      <c r="E16" s="12"/>
      <c r="F16" s="12"/>
    </row>
    <row r="17" customFormat="false" ht="48" hidden="false" customHeight="true" outlineLevel="0" collapsed="false">
      <c r="A17" s="12" t="s">
        <v>295</v>
      </c>
      <c r="B17" s="12"/>
      <c r="C17" s="12"/>
      <c r="D17" s="12"/>
      <c r="E17" s="12"/>
      <c r="F17" s="12"/>
    </row>
  </sheetData>
  <mergeCells count="3">
    <mergeCell ref="A15:F15"/>
    <mergeCell ref="A16:F16"/>
    <mergeCell ref="A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2026-10-13T14:17:24Z</dcterms:created>
  <dc:creator>openpyxl</dc:creator>
  <dc:description/>
  <dc:language>en-US</dc:language>
  <cp:lastModifiedBy/>
  <dcterms:modified xsi:type="dcterms:W3CDTF">2026-10-13T14:17:25Z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